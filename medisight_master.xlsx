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4"/>
  </bookViews>
  <sheets>
    <sheet name="Sheet2" sheetId="3" r:id="rId1"/>
    <sheet name="Sheet3" sheetId="4" r:id="rId2"/>
    <sheet name="Sheet4" sheetId="5" r:id="rId3"/>
    <sheet name="medisight_master" sheetId="1" r:id="rId4"/>
    <sheet name="EDA DashBoard" sheetId="6" r:id="rId5"/>
  </sheets>
  <definedNames>
    <definedName name="Slicer_insurance">#N/A</definedName>
    <definedName name="Slicer_gender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<sst xmlns="http://schemas.openxmlformats.org/spreadsheetml/2006/main" count="939" uniqueCount="47">
  <si>
    <t>insurance</t>
  </si>
  <si>
    <t>Count of target</t>
  </si>
  <si>
    <t>Government</t>
  </si>
  <si>
    <t>Medicaid</t>
  </si>
  <si>
    <t>Medicare</t>
  </si>
  <si>
    <t>Private</t>
  </si>
  <si>
    <t>Grand Total</t>
  </si>
  <si>
    <t>age_group</t>
  </si>
  <si>
    <t>Average of los_days</t>
  </si>
  <si>
    <t>30-50</t>
  </si>
  <si>
    <t>Over 50</t>
  </si>
  <si>
    <t>Under 30</t>
  </si>
  <si>
    <t>los_category</t>
  </si>
  <si>
    <t>Count of subject_id</t>
  </si>
  <si>
    <t>Long</t>
  </si>
  <si>
    <t>Medium</t>
  </si>
  <si>
    <t>Short</t>
  </si>
  <si>
    <t>subject_id</t>
  </si>
  <si>
    <t>gender</t>
  </si>
  <si>
    <t>age</t>
  </si>
  <si>
    <t>los_days</t>
  </si>
  <si>
    <t>admission_type</t>
  </si>
  <si>
    <t>discharge_location</t>
  </si>
  <si>
    <t>target</t>
  </si>
  <si>
    <t>num_diagnoses</t>
  </si>
  <si>
    <t>num_drugs</t>
  </si>
  <si>
    <t>Risk Label</t>
  </si>
  <si>
    <t>F</t>
  </si>
  <si>
    <t>EMERGENCY</t>
  </si>
  <si>
    <t>HOME HEALTH CARE</t>
  </si>
  <si>
    <t>Not Readmitted</t>
  </si>
  <si>
    <t>DEAD/EXPIRED</t>
  </si>
  <si>
    <t>Readmitted</t>
  </si>
  <si>
    <t>SNF</t>
  </si>
  <si>
    <t>M</t>
  </si>
  <si>
    <t>REHAB/DISTINCT PART HOSP</t>
  </si>
  <si>
    <t>ELECTIVE</t>
  </si>
  <si>
    <t>HOME</t>
  </si>
  <si>
    <t>HOSPICE-HOME</t>
  </si>
  <si>
    <t>DISCH-TRAN TO PSYCH HOSP</t>
  </si>
  <si>
    <t>HOME WITH HOME IV PROVIDR</t>
  </si>
  <si>
    <t>URGENT</t>
  </si>
  <si>
    <t>LONG TERM CARE HOSPITAL</t>
  </si>
  <si>
    <t>ICF</t>
  </si>
  <si>
    <t>Total Patients</t>
  </si>
  <si>
    <t>Readmissions</t>
  </si>
  <si>
    <t>Readmit Rate%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</si>
</sst>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2"/>
      <color rgb="FF141413"/>
      <name val="Arial"/>
      <charset val="134"/>
    </font>
    <font>
      <sz val="12"/>
      <color rgb="FF141413"/>
      <name val="Courier New"/>
      <charset val="134"/>
    </font>
    <font>
      <b/>
      <sz val="11"/>
      <color theme="1"/>
      <name val="Calibri"/>
      <charset val="134"/>
      <scheme val="minor"/>
    </font>
    <font>
      <sz val="9"/>
      <color rgb="FF141413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[medisight_master.xlsx]Sheet2!PivotTable2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bg1"/>
                </a:solidFill>
              </a:rPr>
              <a:t>Count of Target by Insurance</a:t>
            </a:r>
            <a:endParaRPr lang="en-IN" altLang="en-US">
              <a:solidFill>
                <a:schemeClr val="bg1"/>
              </a:solidFill>
            </a:endParaRPr>
          </a:p>
        </c:rich>
      </c:tx>
      <c:layout/>
      <c:overlay val="0"/>
      <c:spPr>
        <a:solidFill>
          <a:srgbClr val="00B05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Sheet2!$A$4:$A$8</c:f>
              <c:strCache>
                <c:ptCount val="4"/>
                <c:pt idx="0">
                  <c:v>Government</c:v>
                </c:pt>
                <c:pt idx="1">
                  <c:v>Medicaid</c:v>
                </c:pt>
                <c:pt idx="2">
                  <c:v>Medicare</c:v>
                </c:pt>
                <c:pt idx="3">
                  <c:v>Private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98</c:v>
                </c:pt>
                <c:pt idx="3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6403675"/>
        <c:axId val="426384985"/>
      </c:lineChart>
      <c:catAx>
        <c:axId val="9264036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6384985"/>
        <c:crosses val="autoZero"/>
        <c:auto val="1"/>
        <c:lblAlgn val="ctr"/>
        <c:lblOffset val="100"/>
        <c:noMultiLvlLbl val="0"/>
      </c:catAx>
      <c:valAx>
        <c:axId val="4263849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64036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[medisight_master.xlsx]Sheet3!PivotTable3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Average of LOS_days by AGE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solidFill>
          <a:srgbClr val="00B050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Sheet3!$A$4:$A$7</c:f>
              <c:strCache>
                <c:ptCount val="3"/>
                <c:pt idx="0">
                  <c:v>30-50</c:v>
                </c:pt>
                <c:pt idx="1">
                  <c:v>Over 50</c:v>
                </c:pt>
                <c:pt idx="2">
                  <c:v>Under 30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26</c:v>
                </c:pt>
                <c:pt idx="1">
                  <c:v>7.88495575221239</c:v>
                </c:pt>
                <c:pt idx="2">
                  <c:v>5.6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21686629"/>
        <c:axId val="606318264"/>
      </c:barChart>
      <c:catAx>
        <c:axId val="216866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6318264"/>
        <c:crosses val="autoZero"/>
        <c:auto val="1"/>
        <c:lblAlgn val="ctr"/>
        <c:lblOffset val="100"/>
        <c:noMultiLvlLbl val="0"/>
      </c:catAx>
      <c:valAx>
        <c:axId val="60631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68662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7556d8-6978-43d3-9886-e4f4f9cf38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[medisight_master.xlsx]Sheet4!PivotTable4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bg1"/>
                </a:solidFill>
              </a:rPr>
              <a:t>Count of patients by los_category</a:t>
            </a:r>
            <a:endParaRPr lang="en-IN" altLang="en-US">
              <a:solidFill>
                <a:schemeClr val="bg1"/>
              </a:solidFill>
            </a:endParaRPr>
          </a:p>
        </c:rich>
      </c:tx>
      <c:layout/>
      <c:overlay val="0"/>
      <c:spPr>
        <a:solidFill>
          <a:srgbClr val="00B050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Sheet4!$A$4:$A$7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52</c:v>
                </c:pt>
                <c:pt idx="1">
                  <c:v>42</c:v>
                </c:pt>
                <c:pt idx="2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bee16b-5178-4c47-89a7-68fdfe088b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[medisight_master.xlsx]Sheet4!PivotTable4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bg1"/>
                </a:solidFill>
              </a:rPr>
              <a:t>Count of patients by los_category</a:t>
            </a:r>
            <a:endParaRPr lang="en-IN" altLang="en-US">
              <a:solidFill>
                <a:schemeClr val="bg1"/>
              </a:solidFill>
            </a:endParaRPr>
          </a:p>
        </c:rich>
      </c:tx>
      <c:layout/>
      <c:overlay val="0"/>
      <c:spPr>
        <a:solidFill>
          <a:srgbClr val="00B050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Sheet4!$A$4:$A$7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52</c:v>
                </c:pt>
                <c:pt idx="1">
                  <c:v>42</c:v>
                </c:pt>
                <c:pt idx="2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bee16b-5178-4c47-89a7-68fdfe088b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[medisight_master.xlsx]Sheet3!PivotTable3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Average of LOS_days by AGE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solidFill>
          <a:srgbClr val="00B050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Sheet3!$A$4:$A$7</c:f>
              <c:strCache>
                <c:ptCount val="3"/>
                <c:pt idx="0">
                  <c:v>30-50</c:v>
                </c:pt>
                <c:pt idx="1">
                  <c:v>Over 50</c:v>
                </c:pt>
                <c:pt idx="2">
                  <c:v>Under 30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26</c:v>
                </c:pt>
                <c:pt idx="1">
                  <c:v>7.88495575221239</c:v>
                </c:pt>
                <c:pt idx="2">
                  <c:v>5.6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21686629"/>
        <c:axId val="606318264"/>
      </c:barChart>
      <c:catAx>
        <c:axId val="216866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6318264"/>
        <c:crosses val="autoZero"/>
        <c:auto val="1"/>
        <c:lblAlgn val="ctr"/>
        <c:lblOffset val="100"/>
        <c:noMultiLvlLbl val="0"/>
      </c:catAx>
      <c:valAx>
        <c:axId val="60631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68662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7556d8-6978-43d3-9886-e4f4f9cf38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[medisight_master.xlsx]Sheet2!PivotTable2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bg1"/>
                </a:solidFill>
              </a:rPr>
              <a:t>Count of Target by Insurance</a:t>
            </a:r>
            <a:endParaRPr lang="en-IN" altLang="en-US">
              <a:solidFill>
                <a:schemeClr val="bg1"/>
              </a:solidFill>
            </a:endParaRPr>
          </a:p>
        </c:rich>
      </c:tx>
      <c:layout/>
      <c:overlay val="0"/>
      <c:spPr>
        <a:solidFill>
          <a:srgbClr val="00B050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Sheet2!$A$4:$A$8</c:f>
              <c:strCache>
                <c:ptCount val="4"/>
                <c:pt idx="0">
                  <c:v>Government</c:v>
                </c:pt>
                <c:pt idx="1">
                  <c:v>Medicaid</c:v>
                </c:pt>
                <c:pt idx="2">
                  <c:v>Medicare</c:v>
                </c:pt>
                <c:pt idx="3">
                  <c:v>Private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98</c:v>
                </c:pt>
                <c:pt idx="3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6403675"/>
        <c:axId val="426384985"/>
      </c:lineChart>
      <c:catAx>
        <c:axId val="9264036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6384985"/>
        <c:crosses val="autoZero"/>
        <c:auto val="1"/>
        <c:lblAlgn val="ctr"/>
        <c:lblOffset val="100"/>
        <c:noMultiLvlLbl val="0"/>
      </c:catAx>
      <c:valAx>
        <c:axId val="4263849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64036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ac782b-9179-4466-92ff-d9e9cf2d10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78740</xdr:colOff>
      <xdr:row>5</xdr:row>
      <xdr:rowOff>152400</xdr:rowOff>
    </xdr:from>
    <xdr:to>
      <xdr:col>11</xdr:col>
      <xdr:colOff>27940</xdr:colOff>
      <xdr:row>20</xdr:row>
      <xdr:rowOff>152400</xdr:rowOff>
    </xdr:to>
    <xdr:graphicFrame>
      <xdr:nvGraphicFramePr>
        <xdr:cNvPr id="3" name="Chart 2"/>
        <xdr:cNvGraphicFramePr/>
      </xdr:nvGraphicFramePr>
      <xdr:xfrm>
        <a:off x="2540000" y="106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601980</xdr:colOff>
      <xdr:row>5</xdr:row>
      <xdr:rowOff>152400</xdr:rowOff>
    </xdr:from>
    <xdr:to>
      <xdr:col>10</xdr:col>
      <xdr:colOff>551180</xdr:colOff>
      <xdr:row>20</xdr:row>
      <xdr:rowOff>152400</xdr:rowOff>
    </xdr:to>
    <xdr:graphicFrame>
      <xdr:nvGraphicFramePr>
        <xdr:cNvPr id="2" name="Chart 1"/>
        <xdr:cNvGraphicFramePr/>
      </xdr:nvGraphicFramePr>
      <xdr:xfrm>
        <a:off x="2819400" y="106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548640</xdr:colOff>
      <xdr:row>5</xdr:row>
      <xdr:rowOff>152400</xdr:rowOff>
    </xdr:from>
    <xdr:to>
      <xdr:col>4</xdr:col>
      <xdr:colOff>502920</xdr:colOff>
      <xdr:row>18</xdr:row>
      <xdr:rowOff>149860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5120" y="10668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73660</xdr:colOff>
      <xdr:row>5</xdr:row>
      <xdr:rowOff>58420</xdr:rowOff>
    </xdr:from>
    <xdr:to>
      <xdr:col>8</xdr:col>
      <xdr:colOff>73660</xdr:colOff>
      <xdr:row>18</xdr:row>
      <xdr:rowOff>55880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insuran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sura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4260" y="9728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533400</xdr:colOff>
      <xdr:row>13</xdr:row>
      <xdr:rowOff>149860</xdr:rowOff>
    </xdr:from>
    <xdr:to>
      <xdr:col>12</xdr:col>
      <xdr:colOff>482600</xdr:colOff>
      <xdr:row>28</xdr:row>
      <xdr:rowOff>149860</xdr:rowOff>
    </xdr:to>
    <xdr:graphicFrame>
      <xdr:nvGraphicFramePr>
        <xdr:cNvPr id="4" name="Chart 3"/>
        <xdr:cNvGraphicFramePr/>
      </xdr:nvGraphicFramePr>
      <xdr:xfrm>
        <a:off x="4724400" y="252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</xdr:row>
      <xdr:rowOff>76835</xdr:rowOff>
    </xdr:from>
    <xdr:to>
      <xdr:col>7</xdr:col>
      <xdr:colOff>86360</xdr:colOff>
      <xdr:row>3</xdr:row>
      <xdr:rowOff>71120</xdr:rowOff>
    </xdr:to>
    <xdr:sp>
      <xdr:nvSpPr>
        <xdr:cNvPr id="2" name="Text Box 1"/>
        <xdr:cNvSpPr txBox="1"/>
      </xdr:nvSpPr>
      <xdr:spPr>
        <a:xfrm>
          <a:off x="7620" y="259715"/>
          <a:ext cx="7051040" cy="360045"/>
        </a:xfrm>
        <a:prstGeom prst="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IN" altLang="en-US" sz="2000">
              <a:ln w="22225">
                <a:solidFill>
                  <a:schemeClr val="accent2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/>
            </a:rPr>
            <a:t>MediSight</a:t>
          </a:r>
          <a:r>
            <a:rPr lang="en-IN" altLang="en-US" sz="200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— </a:t>
          </a:r>
          <a:r>
            <a:rPr lang="en-IN" altLang="en-US" sz="2000">
              <a:ln w="22225">
                <a:solidFill>
                  <a:schemeClr val="accent2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/>
            </a:rPr>
            <a:t>Clinical EDA Dashboard</a:t>
          </a:r>
          <a:endParaRPr lang="en-IN" altLang="en-US" sz="2000">
            <a:ln w="22225">
              <a:solidFill>
                <a:schemeClr val="accent2"/>
              </a:solidFill>
              <a:prstDash val="solid"/>
            </a:ln>
            <a:solidFill>
              <a:schemeClr val="accent1">
                <a:lumMod val="75000"/>
              </a:schemeClr>
            </a:solidFill>
            <a:effectLst/>
          </a:endParaRPr>
        </a:p>
      </xdr:txBody>
    </xdr:sp>
    <xdr:clientData/>
  </xdr:twoCellAnchor>
  <xdr:twoCellAnchor editAs="oneCell">
    <xdr:from>
      <xdr:col>5</xdr:col>
      <xdr:colOff>522605</xdr:colOff>
      <xdr:row>20</xdr:row>
      <xdr:rowOff>74930</xdr:rowOff>
    </xdr:from>
    <xdr:to>
      <xdr:col>6</xdr:col>
      <xdr:colOff>1148080</xdr:colOff>
      <xdr:row>26</xdr:row>
      <xdr:rowOff>43815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gende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1825" y="3755390"/>
              <a:ext cx="1235075" cy="1066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462915</xdr:colOff>
      <xdr:row>20</xdr:row>
      <xdr:rowOff>67310</xdr:rowOff>
    </xdr:from>
    <xdr:to>
      <xdr:col>5</xdr:col>
      <xdr:colOff>503555</xdr:colOff>
      <xdr:row>29</xdr:row>
      <xdr:rowOff>97155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insuranc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suranc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7695" y="3747770"/>
              <a:ext cx="1275080" cy="1675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30480</xdr:colOff>
      <xdr:row>7</xdr:row>
      <xdr:rowOff>128270</xdr:rowOff>
    </xdr:from>
    <xdr:to>
      <xdr:col>3</xdr:col>
      <xdr:colOff>440690</xdr:colOff>
      <xdr:row>19</xdr:row>
      <xdr:rowOff>55880</xdr:rowOff>
    </xdr:to>
    <xdr:graphicFrame>
      <xdr:nvGraphicFramePr>
        <xdr:cNvPr id="7" name="Chart 6"/>
        <xdr:cNvGraphicFramePr/>
      </xdr:nvGraphicFramePr>
      <xdr:xfrm>
        <a:off x="30480" y="1431290"/>
        <a:ext cx="3481070" cy="2122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20</xdr:row>
      <xdr:rowOff>44450</xdr:rowOff>
    </xdr:from>
    <xdr:to>
      <xdr:col>4</xdr:col>
      <xdr:colOff>330835</xdr:colOff>
      <xdr:row>32</xdr:row>
      <xdr:rowOff>74295</xdr:rowOff>
    </xdr:to>
    <xdr:graphicFrame>
      <xdr:nvGraphicFramePr>
        <xdr:cNvPr id="8" name="Chart 7"/>
        <xdr:cNvGraphicFramePr/>
      </xdr:nvGraphicFramePr>
      <xdr:xfrm>
        <a:off x="7620" y="3724910"/>
        <a:ext cx="4277995" cy="2224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570865</xdr:colOff>
      <xdr:row>7</xdr:row>
      <xdr:rowOff>132080</xdr:rowOff>
    </xdr:from>
    <xdr:to>
      <xdr:col>6</xdr:col>
      <xdr:colOff>1139190</xdr:colOff>
      <xdr:row>19</xdr:row>
      <xdr:rowOff>62230</xdr:rowOff>
    </xdr:to>
    <xdr:graphicFrame>
      <xdr:nvGraphicFramePr>
        <xdr:cNvPr id="9" name="Chart 8"/>
        <xdr:cNvGraphicFramePr/>
      </xdr:nvGraphicFramePr>
      <xdr:xfrm>
        <a:off x="3641725" y="1435100"/>
        <a:ext cx="3296285" cy="2124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6.4197685185" refreshedBy="rajes" recordCount="129">
  <cacheSource type="worksheet">
    <worksheetSource name="#NAME?"/>
  </cacheSource>
  <cacheFields count="12">
    <cacheField name="subject_id" numFmtId="0">
      <sharedItems containsSemiMixedTypes="0" containsString="0" containsNumber="1" containsInteger="1" minValue="10006" maxValue="44228" count="100">
        <n v="10006"/>
        <n v="10011"/>
        <n v="10013"/>
        <n v="10017"/>
        <n v="10019"/>
        <n v="10026"/>
        <n v="10027"/>
        <n v="10029"/>
        <n v="10032"/>
        <n v="10033"/>
        <n v="10035"/>
        <n v="10036"/>
        <n v="10038"/>
        <n v="10040"/>
        <n v="10042"/>
        <n v="10043"/>
        <n v="10044"/>
        <n v="10045"/>
        <n v="10046"/>
        <n v="10056"/>
        <n v="10059"/>
        <n v="10061"/>
        <n v="10064"/>
        <n v="10065"/>
        <n v="10067"/>
        <n v="10069"/>
        <n v="10074"/>
        <n v="10076"/>
        <n v="10083"/>
        <n v="10088"/>
        <n v="10089"/>
        <n v="10090"/>
        <n v="10093"/>
        <n v="10094"/>
        <n v="10098"/>
        <n v="10101"/>
        <n v="10102"/>
        <n v="10104"/>
        <n v="10106"/>
        <n v="10111"/>
        <n v="10112"/>
        <n v="10114"/>
        <n v="10117"/>
        <n v="10119"/>
        <n v="10120"/>
        <n v="10124"/>
        <n v="10126"/>
        <n v="10127"/>
        <n v="10130"/>
        <n v="10132"/>
        <n v="40124"/>
        <n v="40177"/>
        <n v="40204"/>
        <n v="40277"/>
        <n v="40286"/>
        <n v="40304"/>
        <n v="40310"/>
        <n v="40456"/>
        <n v="40503"/>
        <n v="40595"/>
        <n v="40601"/>
        <n v="40612"/>
        <n v="40655"/>
        <n v="40687"/>
        <n v="41795"/>
        <n v="41914"/>
        <n v="41976"/>
        <n v="41983"/>
        <n v="42033"/>
        <n v="42066"/>
        <n v="42075"/>
        <n v="42135"/>
        <n v="42199"/>
        <n v="42231"/>
        <n v="42275"/>
        <n v="42281"/>
        <n v="42292"/>
        <n v="42302"/>
        <n v="42321"/>
        <n v="42346"/>
        <n v="42367"/>
        <n v="42412"/>
        <n v="42430"/>
        <n v="42458"/>
        <n v="43735"/>
        <n v="43746"/>
        <n v="43748"/>
        <n v="43779"/>
        <n v="43798"/>
        <n v="43827"/>
        <n v="43870"/>
        <n v="43879"/>
        <n v="43881"/>
        <n v="43909"/>
        <n v="43927"/>
        <n v="44083"/>
        <n v="44154"/>
        <n v="44212"/>
        <n v="44222"/>
        <n v="44228"/>
      </sharedItems>
    </cacheField>
    <cacheField name="gender" numFmtId="0">
      <sharedItems count="2">
        <s v="F"/>
        <s v="M"/>
      </sharedItems>
    </cacheField>
    <cacheField name="age" numFmtId="0">
      <sharedItems containsSemiMixedTypes="0" containsString="0" containsNumber="1" containsInteger="1" minValue="17" maxValue="300" count="45">
        <n v="70"/>
        <n v="36"/>
        <n v="87"/>
        <n v="73"/>
        <n v="48"/>
        <n v="300"/>
        <n v="82"/>
        <n v="78"/>
        <n v="88"/>
        <n v="81"/>
        <n v="75"/>
        <n v="85"/>
        <n v="76"/>
        <n v="68"/>
        <n v="53"/>
        <n v="83"/>
        <n v="69"/>
        <n v="29"/>
        <n v="41"/>
        <n v="77"/>
        <n v="86"/>
        <n v="27"/>
        <n v="19"/>
        <n v="72"/>
        <n v="63"/>
        <n v="66"/>
        <n v="44"/>
        <n v="17"/>
        <n v="51"/>
        <n v="65"/>
        <n v="67"/>
        <n v="80"/>
        <n v="40"/>
        <n v="49"/>
        <n v="55"/>
        <n v="62"/>
        <n v="64"/>
        <n v="50"/>
        <n v="43"/>
        <n v="79"/>
        <n v="61"/>
        <n v="71"/>
        <n v="54"/>
        <n v="45"/>
        <n v="58"/>
      </sharedItems>
    </cacheField>
    <cacheField name="los_days" numFmtId="0">
      <sharedItems containsSemiMixedTypes="0" containsString="0" containsNumber="1" containsInteger="1" minValue="0" maxValue="124" count="29">
        <n v="9"/>
        <n v="14"/>
        <n v="3"/>
        <n v="8"/>
        <n v="1"/>
        <n v="7"/>
        <n v="12"/>
        <n v="10"/>
        <n v="13"/>
        <n v="4"/>
        <n v="2"/>
        <n v="11"/>
        <n v="6"/>
        <n v="25"/>
        <n v="0"/>
        <n v="19"/>
        <n v="17"/>
        <n v="5"/>
        <n v="18"/>
        <n v="29"/>
        <n v="35"/>
        <n v="22"/>
        <n v="20"/>
        <n v="124"/>
        <n v="28"/>
        <n v="32"/>
        <n v="16"/>
        <n v="39"/>
        <n v="36"/>
      </sharedItems>
    </cacheField>
    <cacheField name="admission_type" numFmtId="0">
      <sharedItems count="3">
        <s v="EMERGENCY"/>
        <s v="ELECTIVE"/>
        <s v="URGENT"/>
      </sharedItems>
    </cacheField>
    <cacheField name="insurance" numFmtId="0">
      <sharedItems count="4">
        <s v="Medicare"/>
        <s v="Private"/>
        <s v="Medicaid"/>
        <s v="Government"/>
      </sharedItems>
    </cacheField>
    <cacheField name="discharge_location" numFmtId="0">
      <sharedItems count="10">
        <s v="HOME HEALTH CARE"/>
        <s v="DEAD/EXPIRED"/>
        <s v="SNF"/>
        <s v="REHAB/DISTINCT PART HOSP"/>
        <s v="HOME"/>
        <s v="HOSPICE-HOME"/>
        <s v="DISCH-TRAN TO PSYCH HOSP"/>
        <s v="HOME WITH HOME IV PROVIDR"/>
        <s v="LONG TERM CARE HOSPITAL"/>
        <s v="ICF"/>
      </sharedItems>
    </cacheField>
    <cacheField name="target" numFmtId="0">
      <sharedItems containsSemiMixedTypes="0" containsString="0" containsNumber="1" containsInteger="1" minValue="0" maxValue="0" count="1">
        <n v="0"/>
      </sharedItems>
    </cacheField>
    <cacheField name="num_diagnoses" numFmtId="0">
      <sharedItems containsSemiMixedTypes="0" containsString="0" containsNumber="1" containsInteger="1" minValue="2" maxValue="33" count="25">
        <n v="17"/>
        <n v="6"/>
        <n v="9"/>
        <n v="11"/>
        <n v="14"/>
        <n v="12"/>
        <n v="20"/>
        <n v="4"/>
        <n v="18"/>
        <n v="8"/>
        <n v="22"/>
        <n v="2"/>
        <n v="3"/>
        <n v="7"/>
        <n v="19"/>
        <n v="10"/>
        <n v="13"/>
        <n v="5"/>
        <n v="15"/>
        <n v="16"/>
        <n v="33"/>
        <n v="23"/>
        <n v="28"/>
        <n v="21"/>
        <n v="24"/>
      </sharedItems>
    </cacheField>
    <cacheField name="num_drugs" numFmtId="0">
      <sharedItems containsSemiMixedTypes="0" containsString="0" containsNumber="1" containsInteger="1" minValue="0" maxValue="142" count="51">
        <n v="32"/>
        <n v="0"/>
        <n v="19"/>
        <n v="49"/>
        <n v="25"/>
        <n v="44"/>
        <n v="31"/>
        <n v="29"/>
        <n v="20"/>
        <n v="17"/>
        <n v="34"/>
        <n v="38"/>
        <n v="37"/>
        <n v="33"/>
        <n v="66"/>
        <n v="39"/>
        <n v="69"/>
        <n v="9"/>
        <n v="28"/>
        <n v="48"/>
        <n v="45"/>
        <n v="18"/>
        <n v="24"/>
        <n v="42"/>
        <n v="26"/>
        <n v="16"/>
        <n v="22"/>
        <n v="21"/>
        <n v="41"/>
        <n v="70"/>
        <n v="74"/>
        <n v="54"/>
        <n v="23"/>
        <n v="142"/>
        <n v="50"/>
        <n v="36"/>
        <n v="40"/>
        <n v="35"/>
        <n v="55"/>
        <n v="52"/>
        <n v="30"/>
        <n v="13"/>
        <n v="57"/>
        <n v="56"/>
        <n v="68"/>
        <n v="27"/>
        <n v="7"/>
        <n v="14"/>
        <n v="12"/>
        <n v="43"/>
        <n v="15"/>
      </sharedItems>
    </cacheField>
    <cacheField name="los_category" numFmtId="0">
      <sharedItems count="3">
        <s v="Long"/>
        <s v="Short"/>
        <s v="Medium"/>
      </sharedItems>
    </cacheField>
    <cacheField name="age_group" numFmtId="0">
      <sharedItems count="3">
        <s v="Over 50"/>
        <s v="30-50"/>
        <s v="Under 3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9">
  <r>
    <x v="0"/>
    <x v="0"/>
    <x v="0"/>
    <x v="0"/>
    <x v="0"/>
    <x v="0"/>
    <x v="0"/>
    <x v="0"/>
    <x v="0"/>
    <x v="0"/>
    <x v="0"/>
    <x v="0"/>
  </r>
  <r>
    <x v="1"/>
    <x v="0"/>
    <x v="1"/>
    <x v="1"/>
    <x v="0"/>
    <x v="1"/>
    <x v="1"/>
    <x v="0"/>
    <x v="1"/>
    <x v="1"/>
    <x v="0"/>
    <x v="1"/>
  </r>
  <r>
    <x v="2"/>
    <x v="0"/>
    <x v="2"/>
    <x v="2"/>
    <x v="0"/>
    <x v="0"/>
    <x v="1"/>
    <x v="0"/>
    <x v="2"/>
    <x v="2"/>
    <x v="1"/>
    <x v="0"/>
  </r>
  <r>
    <x v="3"/>
    <x v="0"/>
    <x v="3"/>
    <x v="3"/>
    <x v="0"/>
    <x v="0"/>
    <x v="2"/>
    <x v="0"/>
    <x v="3"/>
    <x v="3"/>
    <x v="0"/>
    <x v="0"/>
  </r>
  <r>
    <x v="4"/>
    <x v="1"/>
    <x v="4"/>
    <x v="4"/>
    <x v="0"/>
    <x v="0"/>
    <x v="1"/>
    <x v="0"/>
    <x v="4"/>
    <x v="0"/>
    <x v="1"/>
    <x v="1"/>
  </r>
  <r>
    <x v="5"/>
    <x v="0"/>
    <x v="5"/>
    <x v="5"/>
    <x v="0"/>
    <x v="0"/>
    <x v="3"/>
    <x v="0"/>
    <x v="1"/>
    <x v="4"/>
    <x v="2"/>
    <x v="0"/>
  </r>
  <r>
    <x v="6"/>
    <x v="0"/>
    <x v="6"/>
    <x v="6"/>
    <x v="1"/>
    <x v="0"/>
    <x v="2"/>
    <x v="0"/>
    <x v="5"/>
    <x v="5"/>
    <x v="0"/>
    <x v="0"/>
  </r>
  <r>
    <x v="7"/>
    <x v="1"/>
    <x v="7"/>
    <x v="7"/>
    <x v="0"/>
    <x v="0"/>
    <x v="2"/>
    <x v="0"/>
    <x v="6"/>
    <x v="6"/>
    <x v="0"/>
    <x v="0"/>
  </r>
  <r>
    <x v="8"/>
    <x v="1"/>
    <x v="8"/>
    <x v="8"/>
    <x v="0"/>
    <x v="0"/>
    <x v="3"/>
    <x v="0"/>
    <x v="2"/>
    <x v="7"/>
    <x v="0"/>
    <x v="0"/>
  </r>
  <r>
    <x v="9"/>
    <x v="0"/>
    <x v="9"/>
    <x v="2"/>
    <x v="0"/>
    <x v="0"/>
    <x v="2"/>
    <x v="0"/>
    <x v="3"/>
    <x v="8"/>
    <x v="1"/>
    <x v="0"/>
  </r>
  <r>
    <x v="10"/>
    <x v="1"/>
    <x v="10"/>
    <x v="9"/>
    <x v="1"/>
    <x v="0"/>
    <x v="4"/>
    <x v="0"/>
    <x v="7"/>
    <x v="2"/>
    <x v="2"/>
    <x v="0"/>
  </r>
  <r>
    <x v="11"/>
    <x v="0"/>
    <x v="5"/>
    <x v="10"/>
    <x v="0"/>
    <x v="0"/>
    <x v="1"/>
    <x v="0"/>
    <x v="4"/>
    <x v="9"/>
    <x v="1"/>
    <x v="0"/>
  </r>
  <r>
    <x v="12"/>
    <x v="0"/>
    <x v="8"/>
    <x v="6"/>
    <x v="0"/>
    <x v="0"/>
    <x v="2"/>
    <x v="0"/>
    <x v="8"/>
    <x v="10"/>
    <x v="0"/>
    <x v="0"/>
  </r>
  <r>
    <x v="13"/>
    <x v="0"/>
    <x v="11"/>
    <x v="9"/>
    <x v="0"/>
    <x v="0"/>
    <x v="3"/>
    <x v="0"/>
    <x v="2"/>
    <x v="6"/>
    <x v="2"/>
    <x v="0"/>
  </r>
  <r>
    <x v="14"/>
    <x v="1"/>
    <x v="0"/>
    <x v="11"/>
    <x v="0"/>
    <x v="0"/>
    <x v="0"/>
    <x v="0"/>
    <x v="2"/>
    <x v="11"/>
    <x v="0"/>
    <x v="0"/>
  </r>
  <r>
    <x v="15"/>
    <x v="1"/>
    <x v="12"/>
    <x v="6"/>
    <x v="0"/>
    <x v="0"/>
    <x v="2"/>
    <x v="0"/>
    <x v="9"/>
    <x v="12"/>
    <x v="0"/>
    <x v="0"/>
  </r>
  <r>
    <x v="16"/>
    <x v="0"/>
    <x v="9"/>
    <x v="0"/>
    <x v="0"/>
    <x v="0"/>
    <x v="4"/>
    <x v="0"/>
    <x v="2"/>
    <x v="13"/>
    <x v="0"/>
    <x v="0"/>
  </r>
  <r>
    <x v="17"/>
    <x v="0"/>
    <x v="13"/>
    <x v="5"/>
    <x v="0"/>
    <x v="0"/>
    <x v="1"/>
    <x v="0"/>
    <x v="10"/>
    <x v="14"/>
    <x v="2"/>
    <x v="0"/>
  </r>
  <r>
    <x v="18"/>
    <x v="0"/>
    <x v="14"/>
    <x v="11"/>
    <x v="0"/>
    <x v="2"/>
    <x v="3"/>
    <x v="0"/>
    <x v="11"/>
    <x v="1"/>
    <x v="0"/>
    <x v="0"/>
  </r>
  <r>
    <x v="19"/>
    <x v="0"/>
    <x v="15"/>
    <x v="9"/>
    <x v="0"/>
    <x v="0"/>
    <x v="2"/>
    <x v="0"/>
    <x v="2"/>
    <x v="4"/>
    <x v="2"/>
    <x v="0"/>
  </r>
  <r>
    <x v="20"/>
    <x v="1"/>
    <x v="16"/>
    <x v="12"/>
    <x v="0"/>
    <x v="0"/>
    <x v="4"/>
    <x v="0"/>
    <x v="2"/>
    <x v="2"/>
    <x v="2"/>
    <x v="0"/>
  </r>
  <r>
    <x v="20"/>
    <x v="1"/>
    <x v="16"/>
    <x v="5"/>
    <x v="0"/>
    <x v="0"/>
    <x v="1"/>
    <x v="0"/>
    <x v="4"/>
    <x v="15"/>
    <x v="2"/>
    <x v="0"/>
  </r>
  <r>
    <x v="21"/>
    <x v="0"/>
    <x v="10"/>
    <x v="13"/>
    <x v="0"/>
    <x v="0"/>
    <x v="3"/>
    <x v="0"/>
    <x v="2"/>
    <x v="16"/>
    <x v="0"/>
    <x v="0"/>
  </r>
  <r>
    <x v="22"/>
    <x v="1"/>
    <x v="13"/>
    <x v="14"/>
    <x v="0"/>
    <x v="0"/>
    <x v="1"/>
    <x v="0"/>
    <x v="12"/>
    <x v="17"/>
    <x v="1"/>
    <x v="0"/>
  </r>
  <r>
    <x v="23"/>
    <x v="0"/>
    <x v="7"/>
    <x v="6"/>
    <x v="1"/>
    <x v="1"/>
    <x v="2"/>
    <x v="0"/>
    <x v="3"/>
    <x v="15"/>
    <x v="0"/>
    <x v="0"/>
  </r>
  <r>
    <x v="24"/>
    <x v="1"/>
    <x v="17"/>
    <x v="14"/>
    <x v="0"/>
    <x v="1"/>
    <x v="1"/>
    <x v="0"/>
    <x v="13"/>
    <x v="1"/>
    <x v="1"/>
    <x v="2"/>
  </r>
  <r>
    <x v="25"/>
    <x v="0"/>
    <x v="18"/>
    <x v="15"/>
    <x v="0"/>
    <x v="2"/>
    <x v="1"/>
    <x v="0"/>
    <x v="2"/>
    <x v="1"/>
    <x v="0"/>
    <x v="1"/>
  </r>
  <r>
    <x v="26"/>
    <x v="1"/>
    <x v="11"/>
    <x v="3"/>
    <x v="0"/>
    <x v="0"/>
    <x v="4"/>
    <x v="0"/>
    <x v="3"/>
    <x v="18"/>
    <x v="0"/>
    <x v="0"/>
  </r>
  <r>
    <x v="27"/>
    <x v="1"/>
    <x v="13"/>
    <x v="0"/>
    <x v="0"/>
    <x v="0"/>
    <x v="1"/>
    <x v="0"/>
    <x v="4"/>
    <x v="11"/>
    <x v="0"/>
    <x v="0"/>
  </r>
  <r>
    <x v="28"/>
    <x v="0"/>
    <x v="6"/>
    <x v="16"/>
    <x v="0"/>
    <x v="0"/>
    <x v="5"/>
    <x v="0"/>
    <x v="10"/>
    <x v="19"/>
    <x v="0"/>
    <x v="0"/>
  </r>
  <r>
    <x v="29"/>
    <x v="1"/>
    <x v="19"/>
    <x v="5"/>
    <x v="0"/>
    <x v="0"/>
    <x v="2"/>
    <x v="0"/>
    <x v="4"/>
    <x v="20"/>
    <x v="2"/>
    <x v="0"/>
  </r>
  <r>
    <x v="29"/>
    <x v="1"/>
    <x v="19"/>
    <x v="6"/>
    <x v="0"/>
    <x v="0"/>
    <x v="2"/>
    <x v="0"/>
    <x v="14"/>
    <x v="0"/>
    <x v="0"/>
    <x v="0"/>
  </r>
  <r>
    <x v="29"/>
    <x v="1"/>
    <x v="19"/>
    <x v="12"/>
    <x v="0"/>
    <x v="1"/>
    <x v="2"/>
    <x v="0"/>
    <x v="3"/>
    <x v="2"/>
    <x v="2"/>
    <x v="0"/>
  </r>
  <r>
    <x v="30"/>
    <x v="1"/>
    <x v="20"/>
    <x v="2"/>
    <x v="0"/>
    <x v="0"/>
    <x v="1"/>
    <x v="0"/>
    <x v="7"/>
    <x v="21"/>
    <x v="1"/>
    <x v="0"/>
  </r>
  <r>
    <x v="31"/>
    <x v="1"/>
    <x v="21"/>
    <x v="10"/>
    <x v="0"/>
    <x v="1"/>
    <x v="6"/>
    <x v="0"/>
    <x v="1"/>
    <x v="21"/>
    <x v="1"/>
    <x v="2"/>
  </r>
  <r>
    <x v="32"/>
    <x v="1"/>
    <x v="2"/>
    <x v="4"/>
    <x v="0"/>
    <x v="0"/>
    <x v="1"/>
    <x v="0"/>
    <x v="15"/>
    <x v="22"/>
    <x v="1"/>
    <x v="0"/>
  </r>
  <r>
    <x v="33"/>
    <x v="1"/>
    <x v="5"/>
    <x v="7"/>
    <x v="0"/>
    <x v="0"/>
    <x v="2"/>
    <x v="0"/>
    <x v="5"/>
    <x v="23"/>
    <x v="0"/>
    <x v="0"/>
  </r>
  <r>
    <x v="33"/>
    <x v="1"/>
    <x v="5"/>
    <x v="17"/>
    <x v="0"/>
    <x v="0"/>
    <x v="1"/>
    <x v="0"/>
    <x v="9"/>
    <x v="23"/>
    <x v="2"/>
    <x v="0"/>
  </r>
  <r>
    <x v="34"/>
    <x v="0"/>
    <x v="22"/>
    <x v="4"/>
    <x v="0"/>
    <x v="1"/>
    <x v="1"/>
    <x v="0"/>
    <x v="12"/>
    <x v="24"/>
    <x v="1"/>
    <x v="2"/>
  </r>
  <r>
    <x v="35"/>
    <x v="1"/>
    <x v="23"/>
    <x v="10"/>
    <x v="0"/>
    <x v="3"/>
    <x v="1"/>
    <x v="0"/>
    <x v="13"/>
    <x v="25"/>
    <x v="1"/>
    <x v="0"/>
  </r>
  <r>
    <x v="36"/>
    <x v="1"/>
    <x v="0"/>
    <x v="8"/>
    <x v="0"/>
    <x v="0"/>
    <x v="1"/>
    <x v="0"/>
    <x v="16"/>
    <x v="20"/>
    <x v="0"/>
    <x v="0"/>
  </r>
  <r>
    <x v="37"/>
    <x v="0"/>
    <x v="0"/>
    <x v="5"/>
    <x v="0"/>
    <x v="0"/>
    <x v="2"/>
    <x v="0"/>
    <x v="2"/>
    <x v="15"/>
    <x v="2"/>
    <x v="0"/>
  </r>
  <r>
    <x v="38"/>
    <x v="1"/>
    <x v="24"/>
    <x v="17"/>
    <x v="0"/>
    <x v="1"/>
    <x v="7"/>
    <x v="0"/>
    <x v="17"/>
    <x v="26"/>
    <x v="2"/>
    <x v="0"/>
  </r>
  <r>
    <x v="39"/>
    <x v="0"/>
    <x v="6"/>
    <x v="18"/>
    <x v="0"/>
    <x v="0"/>
    <x v="1"/>
    <x v="0"/>
    <x v="2"/>
    <x v="23"/>
    <x v="0"/>
    <x v="0"/>
  </r>
  <r>
    <x v="40"/>
    <x v="0"/>
    <x v="7"/>
    <x v="12"/>
    <x v="2"/>
    <x v="0"/>
    <x v="1"/>
    <x v="0"/>
    <x v="2"/>
    <x v="27"/>
    <x v="2"/>
    <x v="0"/>
  </r>
  <r>
    <x v="41"/>
    <x v="0"/>
    <x v="23"/>
    <x v="5"/>
    <x v="2"/>
    <x v="1"/>
    <x v="0"/>
    <x v="0"/>
    <x v="9"/>
    <x v="1"/>
    <x v="2"/>
    <x v="0"/>
  </r>
  <r>
    <x v="42"/>
    <x v="0"/>
    <x v="25"/>
    <x v="12"/>
    <x v="0"/>
    <x v="1"/>
    <x v="4"/>
    <x v="0"/>
    <x v="17"/>
    <x v="1"/>
    <x v="2"/>
    <x v="0"/>
  </r>
  <r>
    <x v="42"/>
    <x v="0"/>
    <x v="25"/>
    <x v="0"/>
    <x v="0"/>
    <x v="1"/>
    <x v="1"/>
    <x v="0"/>
    <x v="9"/>
    <x v="4"/>
    <x v="0"/>
    <x v="0"/>
  </r>
  <r>
    <x v="43"/>
    <x v="1"/>
    <x v="9"/>
    <x v="1"/>
    <x v="0"/>
    <x v="0"/>
    <x v="3"/>
    <x v="0"/>
    <x v="15"/>
    <x v="13"/>
    <x v="0"/>
    <x v="0"/>
  </r>
  <r>
    <x v="43"/>
    <x v="1"/>
    <x v="9"/>
    <x v="17"/>
    <x v="0"/>
    <x v="0"/>
    <x v="3"/>
    <x v="0"/>
    <x v="17"/>
    <x v="9"/>
    <x v="2"/>
    <x v="0"/>
  </r>
  <r>
    <x v="44"/>
    <x v="1"/>
    <x v="21"/>
    <x v="2"/>
    <x v="0"/>
    <x v="2"/>
    <x v="1"/>
    <x v="0"/>
    <x v="15"/>
    <x v="28"/>
    <x v="1"/>
    <x v="2"/>
  </r>
  <r>
    <x v="45"/>
    <x v="0"/>
    <x v="15"/>
    <x v="7"/>
    <x v="0"/>
    <x v="0"/>
    <x v="2"/>
    <x v="0"/>
    <x v="18"/>
    <x v="20"/>
    <x v="0"/>
    <x v="0"/>
  </r>
  <r>
    <x v="45"/>
    <x v="0"/>
    <x v="15"/>
    <x v="19"/>
    <x v="0"/>
    <x v="0"/>
    <x v="1"/>
    <x v="0"/>
    <x v="19"/>
    <x v="29"/>
    <x v="0"/>
    <x v="0"/>
  </r>
  <r>
    <x v="46"/>
    <x v="0"/>
    <x v="26"/>
    <x v="20"/>
    <x v="0"/>
    <x v="1"/>
    <x v="1"/>
    <x v="0"/>
    <x v="4"/>
    <x v="30"/>
    <x v="0"/>
    <x v="1"/>
  </r>
  <r>
    <x v="47"/>
    <x v="0"/>
    <x v="27"/>
    <x v="21"/>
    <x v="0"/>
    <x v="1"/>
    <x v="3"/>
    <x v="0"/>
    <x v="4"/>
    <x v="31"/>
    <x v="0"/>
    <x v="2"/>
  </r>
  <r>
    <x v="48"/>
    <x v="1"/>
    <x v="28"/>
    <x v="22"/>
    <x v="0"/>
    <x v="1"/>
    <x v="0"/>
    <x v="0"/>
    <x v="9"/>
    <x v="1"/>
    <x v="0"/>
    <x v="0"/>
  </r>
  <r>
    <x v="49"/>
    <x v="0"/>
    <x v="29"/>
    <x v="13"/>
    <x v="0"/>
    <x v="0"/>
    <x v="0"/>
    <x v="0"/>
    <x v="9"/>
    <x v="20"/>
    <x v="0"/>
    <x v="0"/>
  </r>
  <r>
    <x v="50"/>
    <x v="0"/>
    <x v="25"/>
    <x v="12"/>
    <x v="0"/>
    <x v="0"/>
    <x v="2"/>
    <x v="0"/>
    <x v="13"/>
    <x v="13"/>
    <x v="2"/>
    <x v="0"/>
  </r>
  <r>
    <x v="50"/>
    <x v="0"/>
    <x v="30"/>
    <x v="12"/>
    <x v="0"/>
    <x v="0"/>
    <x v="2"/>
    <x v="0"/>
    <x v="13"/>
    <x v="12"/>
    <x v="2"/>
    <x v="0"/>
  </r>
  <r>
    <x v="51"/>
    <x v="1"/>
    <x v="20"/>
    <x v="12"/>
    <x v="0"/>
    <x v="0"/>
    <x v="1"/>
    <x v="0"/>
    <x v="8"/>
    <x v="23"/>
    <x v="2"/>
    <x v="0"/>
  </r>
  <r>
    <x v="52"/>
    <x v="1"/>
    <x v="12"/>
    <x v="3"/>
    <x v="0"/>
    <x v="0"/>
    <x v="3"/>
    <x v="0"/>
    <x v="16"/>
    <x v="32"/>
    <x v="0"/>
    <x v="0"/>
  </r>
  <r>
    <x v="53"/>
    <x v="0"/>
    <x v="31"/>
    <x v="9"/>
    <x v="0"/>
    <x v="0"/>
    <x v="4"/>
    <x v="0"/>
    <x v="9"/>
    <x v="8"/>
    <x v="2"/>
    <x v="0"/>
  </r>
  <r>
    <x v="54"/>
    <x v="0"/>
    <x v="15"/>
    <x v="17"/>
    <x v="1"/>
    <x v="0"/>
    <x v="3"/>
    <x v="0"/>
    <x v="15"/>
    <x v="12"/>
    <x v="2"/>
    <x v="0"/>
  </r>
  <r>
    <x v="55"/>
    <x v="1"/>
    <x v="12"/>
    <x v="7"/>
    <x v="0"/>
    <x v="0"/>
    <x v="2"/>
    <x v="0"/>
    <x v="19"/>
    <x v="10"/>
    <x v="0"/>
    <x v="0"/>
  </r>
  <r>
    <x v="56"/>
    <x v="1"/>
    <x v="32"/>
    <x v="23"/>
    <x v="0"/>
    <x v="1"/>
    <x v="3"/>
    <x v="0"/>
    <x v="20"/>
    <x v="33"/>
    <x v="0"/>
    <x v="1"/>
  </r>
  <r>
    <x v="56"/>
    <x v="1"/>
    <x v="18"/>
    <x v="5"/>
    <x v="0"/>
    <x v="2"/>
    <x v="1"/>
    <x v="0"/>
    <x v="16"/>
    <x v="15"/>
    <x v="2"/>
    <x v="1"/>
  </r>
  <r>
    <x v="57"/>
    <x v="0"/>
    <x v="2"/>
    <x v="2"/>
    <x v="0"/>
    <x v="0"/>
    <x v="4"/>
    <x v="0"/>
    <x v="13"/>
    <x v="2"/>
    <x v="1"/>
    <x v="0"/>
  </r>
  <r>
    <x v="58"/>
    <x v="0"/>
    <x v="8"/>
    <x v="4"/>
    <x v="0"/>
    <x v="0"/>
    <x v="1"/>
    <x v="0"/>
    <x v="4"/>
    <x v="9"/>
    <x v="1"/>
    <x v="0"/>
  </r>
  <r>
    <x v="59"/>
    <x v="0"/>
    <x v="12"/>
    <x v="0"/>
    <x v="0"/>
    <x v="0"/>
    <x v="8"/>
    <x v="0"/>
    <x v="8"/>
    <x v="34"/>
    <x v="0"/>
    <x v="0"/>
  </r>
  <r>
    <x v="60"/>
    <x v="0"/>
    <x v="23"/>
    <x v="12"/>
    <x v="0"/>
    <x v="1"/>
    <x v="2"/>
    <x v="0"/>
    <x v="3"/>
    <x v="35"/>
    <x v="2"/>
    <x v="0"/>
  </r>
  <r>
    <x v="61"/>
    <x v="0"/>
    <x v="20"/>
    <x v="17"/>
    <x v="0"/>
    <x v="0"/>
    <x v="2"/>
    <x v="0"/>
    <x v="15"/>
    <x v="36"/>
    <x v="2"/>
    <x v="0"/>
  </r>
  <r>
    <x v="62"/>
    <x v="0"/>
    <x v="5"/>
    <x v="7"/>
    <x v="0"/>
    <x v="0"/>
    <x v="2"/>
    <x v="0"/>
    <x v="0"/>
    <x v="37"/>
    <x v="0"/>
    <x v="0"/>
  </r>
  <r>
    <x v="63"/>
    <x v="0"/>
    <x v="9"/>
    <x v="2"/>
    <x v="0"/>
    <x v="0"/>
    <x v="1"/>
    <x v="0"/>
    <x v="16"/>
    <x v="21"/>
    <x v="1"/>
    <x v="0"/>
  </r>
  <r>
    <x v="64"/>
    <x v="1"/>
    <x v="4"/>
    <x v="8"/>
    <x v="0"/>
    <x v="0"/>
    <x v="2"/>
    <x v="0"/>
    <x v="0"/>
    <x v="34"/>
    <x v="0"/>
    <x v="1"/>
  </r>
  <r>
    <x v="64"/>
    <x v="1"/>
    <x v="33"/>
    <x v="2"/>
    <x v="0"/>
    <x v="0"/>
    <x v="2"/>
    <x v="0"/>
    <x v="18"/>
    <x v="0"/>
    <x v="1"/>
    <x v="1"/>
  </r>
  <r>
    <x v="65"/>
    <x v="1"/>
    <x v="34"/>
    <x v="16"/>
    <x v="0"/>
    <x v="0"/>
    <x v="3"/>
    <x v="0"/>
    <x v="21"/>
    <x v="12"/>
    <x v="0"/>
    <x v="0"/>
  </r>
  <r>
    <x v="66"/>
    <x v="1"/>
    <x v="35"/>
    <x v="5"/>
    <x v="0"/>
    <x v="0"/>
    <x v="2"/>
    <x v="0"/>
    <x v="5"/>
    <x v="36"/>
    <x v="2"/>
    <x v="0"/>
  </r>
  <r>
    <x v="66"/>
    <x v="1"/>
    <x v="35"/>
    <x v="2"/>
    <x v="0"/>
    <x v="0"/>
    <x v="2"/>
    <x v="0"/>
    <x v="2"/>
    <x v="19"/>
    <x v="1"/>
    <x v="0"/>
  </r>
  <r>
    <x v="66"/>
    <x v="1"/>
    <x v="35"/>
    <x v="1"/>
    <x v="0"/>
    <x v="0"/>
    <x v="2"/>
    <x v="0"/>
    <x v="18"/>
    <x v="38"/>
    <x v="0"/>
    <x v="0"/>
  </r>
  <r>
    <x v="66"/>
    <x v="1"/>
    <x v="24"/>
    <x v="11"/>
    <x v="0"/>
    <x v="0"/>
    <x v="2"/>
    <x v="0"/>
    <x v="16"/>
    <x v="39"/>
    <x v="0"/>
    <x v="0"/>
  </r>
  <r>
    <x v="66"/>
    <x v="1"/>
    <x v="24"/>
    <x v="9"/>
    <x v="0"/>
    <x v="0"/>
    <x v="2"/>
    <x v="0"/>
    <x v="5"/>
    <x v="36"/>
    <x v="2"/>
    <x v="0"/>
  </r>
  <r>
    <x v="66"/>
    <x v="1"/>
    <x v="36"/>
    <x v="17"/>
    <x v="0"/>
    <x v="0"/>
    <x v="2"/>
    <x v="0"/>
    <x v="9"/>
    <x v="5"/>
    <x v="2"/>
    <x v="0"/>
  </r>
  <r>
    <x v="66"/>
    <x v="1"/>
    <x v="36"/>
    <x v="5"/>
    <x v="0"/>
    <x v="0"/>
    <x v="9"/>
    <x v="0"/>
    <x v="18"/>
    <x v="11"/>
    <x v="2"/>
    <x v="0"/>
  </r>
  <r>
    <x v="66"/>
    <x v="1"/>
    <x v="29"/>
    <x v="2"/>
    <x v="0"/>
    <x v="0"/>
    <x v="2"/>
    <x v="0"/>
    <x v="4"/>
    <x v="40"/>
    <x v="1"/>
    <x v="0"/>
  </r>
  <r>
    <x v="66"/>
    <x v="1"/>
    <x v="29"/>
    <x v="2"/>
    <x v="0"/>
    <x v="0"/>
    <x v="8"/>
    <x v="0"/>
    <x v="8"/>
    <x v="11"/>
    <x v="1"/>
    <x v="0"/>
  </r>
  <r>
    <x v="66"/>
    <x v="1"/>
    <x v="29"/>
    <x v="2"/>
    <x v="0"/>
    <x v="0"/>
    <x v="2"/>
    <x v="0"/>
    <x v="14"/>
    <x v="37"/>
    <x v="1"/>
    <x v="0"/>
  </r>
  <r>
    <x v="66"/>
    <x v="1"/>
    <x v="29"/>
    <x v="2"/>
    <x v="0"/>
    <x v="0"/>
    <x v="2"/>
    <x v="0"/>
    <x v="8"/>
    <x v="24"/>
    <x v="1"/>
    <x v="0"/>
  </r>
  <r>
    <x v="66"/>
    <x v="1"/>
    <x v="29"/>
    <x v="9"/>
    <x v="0"/>
    <x v="0"/>
    <x v="2"/>
    <x v="0"/>
    <x v="18"/>
    <x v="40"/>
    <x v="2"/>
    <x v="0"/>
  </r>
  <r>
    <x v="66"/>
    <x v="1"/>
    <x v="29"/>
    <x v="2"/>
    <x v="0"/>
    <x v="0"/>
    <x v="2"/>
    <x v="0"/>
    <x v="4"/>
    <x v="7"/>
    <x v="1"/>
    <x v="0"/>
  </r>
  <r>
    <x v="66"/>
    <x v="1"/>
    <x v="25"/>
    <x v="5"/>
    <x v="0"/>
    <x v="0"/>
    <x v="9"/>
    <x v="0"/>
    <x v="8"/>
    <x v="35"/>
    <x v="2"/>
    <x v="0"/>
  </r>
  <r>
    <x v="66"/>
    <x v="1"/>
    <x v="25"/>
    <x v="3"/>
    <x v="0"/>
    <x v="0"/>
    <x v="9"/>
    <x v="0"/>
    <x v="22"/>
    <x v="20"/>
    <x v="0"/>
    <x v="0"/>
  </r>
  <r>
    <x v="67"/>
    <x v="0"/>
    <x v="5"/>
    <x v="2"/>
    <x v="0"/>
    <x v="0"/>
    <x v="1"/>
    <x v="0"/>
    <x v="16"/>
    <x v="32"/>
    <x v="1"/>
    <x v="0"/>
  </r>
  <r>
    <x v="68"/>
    <x v="0"/>
    <x v="11"/>
    <x v="10"/>
    <x v="0"/>
    <x v="0"/>
    <x v="1"/>
    <x v="0"/>
    <x v="13"/>
    <x v="41"/>
    <x v="1"/>
    <x v="0"/>
  </r>
  <r>
    <x v="69"/>
    <x v="1"/>
    <x v="37"/>
    <x v="5"/>
    <x v="0"/>
    <x v="1"/>
    <x v="1"/>
    <x v="0"/>
    <x v="9"/>
    <x v="10"/>
    <x v="2"/>
    <x v="0"/>
  </r>
  <r>
    <x v="70"/>
    <x v="1"/>
    <x v="31"/>
    <x v="1"/>
    <x v="0"/>
    <x v="0"/>
    <x v="1"/>
    <x v="0"/>
    <x v="0"/>
    <x v="42"/>
    <x v="0"/>
    <x v="0"/>
  </r>
  <r>
    <x v="71"/>
    <x v="1"/>
    <x v="38"/>
    <x v="6"/>
    <x v="0"/>
    <x v="2"/>
    <x v="4"/>
    <x v="0"/>
    <x v="15"/>
    <x v="13"/>
    <x v="0"/>
    <x v="1"/>
  </r>
  <r>
    <x v="71"/>
    <x v="1"/>
    <x v="26"/>
    <x v="21"/>
    <x v="0"/>
    <x v="2"/>
    <x v="1"/>
    <x v="0"/>
    <x v="23"/>
    <x v="43"/>
    <x v="0"/>
    <x v="1"/>
  </r>
  <r>
    <x v="72"/>
    <x v="0"/>
    <x v="23"/>
    <x v="7"/>
    <x v="0"/>
    <x v="0"/>
    <x v="2"/>
    <x v="0"/>
    <x v="5"/>
    <x v="40"/>
    <x v="0"/>
    <x v="0"/>
  </r>
  <r>
    <x v="73"/>
    <x v="0"/>
    <x v="11"/>
    <x v="3"/>
    <x v="1"/>
    <x v="0"/>
    <x v="0"/>
    <x v="0"/>
    <x v="3"/>
    <x v="18"/>
    <x v="0"/>
    <x v="0"/>
  </r>
  <r>
    <x v="74"/>
    <x v="1"/>
    <x v="19"/>
    <x v="2"/>
    <x v="0"/>
    <x v="0"/>
    <x v="4"/>
    <x v="0"/>
    <x v="3"/>
    <x v="41"/>
    <x v="1"/>
    <x v="0"/>
  </r>
  <r>
    <x v="75"/>
    <x v="0"/>
    <x v="13"/>
    <x v="24"/>
    <x v="0"/>
    <x v="0"/>
    <x v="1"/>
    <x v="0"/>
    <x v="6"/>
    <x v="44"/>
    <x v="0"/>
    <x v="0"/>
  </r>
  <r>
    <x v="76"/>
    <x v="1"/>
    <x v="24"/>
    <x v="2"/>
    <x v="0"/>
    <x v="1"/>
    <x v="4"/>
    <x v="0"/>
    <x v="16"/>
    <x v="45"/>
    <x v="1"/>
    <x v="0"/>
  </r>
  <r>
    <x v="77"/>
    <x v="0"/>
    <x v="11"/>
    <x v="9"/>
    <x v="0"/>
    <x v="0"/>
    <x v="2"/>
    <x v="0"/>
    <x v="6"/>
    <x v="32"/>
    <x v="2"/>
    <x v="0"/>
  </r>
  <r>
    <x v="78"/>
    <x v="0"/>
    <x v="31"/>
    <x v="17"/>
    <x v="0"/>
    <x v="0"/>
    <x v="2"/>
    <x v="0"/>
    <x v="0"/>
    <x v="6"/>
    <x v="2"/>
    <x v="0"/>
  </r>
  <r>
    <x v="79"/>
    <x v="0"/>
    <x v="8"/>
    <x v="17"/>
    <x v="0"/>
    <x v="0"/>
    <x v="2"/>
    <x v="0"/>
    <x v="14"/>
    <x v="7"/>
    <x v="2"/>
    <x v="0"/>
  </r>
  <r>
    <x v="79"/>
    <x v="0"/>
    <x v="8"/>
    <x v="4"/>
    <x v="0"/>
    <x v="0"/>
    <x v="1"/>
    <x v="0"/>
    <x v="4"/>
    <x v="46"/>
    <x v="1"/>
    <x v="0"/>
  </r>
  <r>
    <x v="80"/>
    <x v="0"/>
    <x v="2"/>
    <x v="25"/>
    <x v="0"/>
    <x v="0"/>
    <x v="1"/>
    <x v="0"/>
    <x v="19"/>
    <x v="38"/>
    <x v="0"/>
    <x v="0"/>
  </r>
  <r>
    <x v="81"/>
    <x v="1"/>
    <x v="20"/>
    <x v="12"/>
    <x v="0"/>
    <x v="0"/>
    <x v="2"/>
    <x v="0"/>
    <x v="0"/>
    <x v="6"/>
    <x v="2"/>
    <x v="0"/>
  </r>
  <r>
    <x v="82"/>
    <x v="1"/>
    <x v="31"/>
    <x v="9"/>
    <x v="0"/>
    <x v="0"/>
    <x v="1"/>
    <x v="0"/>
    <x v="15"/>
    <x v="37"/>
    <x v="2"/>
    <x v="0"/>
  </r>
  <r>
    <x v="83"/>
    <x v="1"/>
    <x v="5"/>
    <x v="4"/>
    <x v="0"/>
    <x v="0"/>
    <x v="4"/>
    <x v="0"/>
    <x v="1"/>
    <x v="47"/>
    <x v="1"/>
    <x v="0"/>
  </r>
  <r>
    <x v="84"/>
    <x v="1"/>
    <x v="6"/>
    <x v="17"/>
    <x v="0"/>
    <x v="0"/>
    <x v="1"/>
    <x v="0"/>
    <x v="10"/>
    <x v="36"/>
    <x v="2"/>
    <x v="0"/>
  </r>
  <r>
    <x v="85"/>
    <x v="0"/>
    <x v="9"/>
    <x v="26"/>
    <x v="0"/>
    <x v="0"/>
    <x v="1"/>
    <x v="0"/>
    <x v="19"/>
    <x v="23"/>
    <x v="0"/>
    <x v="0"/>
  </r>
  <r>
    <x v="86"/>
    <x v="1"/>
    <x v="39"/>
    <x v="12"/>
    <x v="0"/>
    <x v="0"/>
    <x v="0"/>
    <x v="0"/>
    <x v="13"/>
    <x v="7"/>
    <x v="2"/>
    <x v="0"/>
  </r>
  <r>
    <x v="87"/>
    <x v="1"/>
    <x v="12"/>
    <x v="2"/>
    <x v="0"/>
    <x v="0"/>
    <x v="0"/>
    <x v="0"/>
    <x v="15"/>
    <x v="4"/>
    <x v="1"/>
    <x v="0"/>
  </r>
  <r>
    <x v="88"/>
    <x v="1"/>
    <x v="40"/>
    <x v="27"/>
    <x v="1"/>
    <x v="1"/>
    <x v="0"/>
    <x v="0"/>
    <x v="19"/>
    <x v="35"/>
    <x v="0"/>
    <x v="0"/>
  </r>
  <r>
    <x v="89"/>
    <x v="0"/>
    <x v="5"/>
    <x v="9"/>
    <x v="0"/>
    <x v="0"/>
    <x v="0"/>
    <x v="0"/>
    <x v="3"/>
    <x v="2"/>
    <x v="2"/>
    <x v="0"/>
  </r>
  <r>
    <x v="90"/>
    <x v="0"/>
    <x v="8"/>
    <x v="2"/>
    <x v="0"/>
    <x v="0"/>
    <x v="1"/>
    <x v="0"/>
    <x v="3"/>
    <x v="45"/>
    <x v="1"/>
    <x v="0"/>
  </r>
  <r>
    <x v="91"/>
    <x v="0"/>
    <x v="34"/>
    <x v="4"/>
    <x v="0"/>
    <x v="0"/>
    <x v="4"/>
    <x v="0"/>
    <x v="1"/>
    <x v="48"/>
    <x v="1"/>
    <x v="0"/>
  </r>
  <r>
    <x v="92"/>
    <x v="1"/>
    <x v="14"/>
    <x v="12"/>
    <x v="0"/>
    <x v="1"/>
    <x v="0"/>
    <x v="0"/>
    <x v="19"/>
    <x v="6"/>
    <x v="2"/>
    <x v="0"/>
  </r>
  <r>
    <x v="92"/>
    <x v="1"/>
    <x v="14"/>
    <x v="3"/>
    <x v="0"/>
    <x v="1"/>
    <x v="4"/>
    <x v="0"/>
    <x v="4"/>
    <x v="24"/>
    <x v="0"/>
    <x v="0"/>
  </r>
  <r>
    <x v="93"/>
    <x v="0"/>
    <x v="7"/>
    <x v="14"/>
    <x v="0"/>
    <x v="0"/>
    <x v="1"/>
    <x v="0"/>
    <x v="2"/>
    <x v="32"/>
    <x v="1"/>
    <x v="0"/>
  </r>
  <r>
    <x v="94"/>
    <x v="0"/>
    <x v="41"/>
    <x v="9"/>
    <x v="1"/>
    <x v="0"/>
    <x v="2"/>
    <x v="0"/>
    <x v="9"/>
    <x v="49"/>
    <x v="2"/>
    <x v="0"/>
  </r>
  <r>
    <x v="95"/>
    <x v="1"/>
    <x v="42"/>
    <x v="5"/>
    <x v="1"/>
    <x v="1"/>
    <x v="0"/>
    <x v="0"/>
    <x v="7"/>
    <x v="32"/>
    <x v="2"/>
    <x v="0"/>
  </r>
  <r>
    <x v="95"/>
    <x v="1"/>
    <x v="42"/>
    <x v="2"/>
    <x v="0"/>
    <x v="1"/>
    <x v="0"/>
    <x v="0"/>
    <x v="7"/>
    <x v="48"/>
    <x v="1"/>
    <x v="0"/>
  </r>
  <r>
    <x v="95"/>
    <x v="1"/>
    <x v="42"/>
    <x v="7"/>
    <x v="0"/>
    <x v="1"/>
    <x v="4"/>
    <x v="0"/>
    <x v="17"/>
    <x v="4"/>
    <x v="0"/>
    <x v="0"/>
  </r>
  <r>
    <x v="96"/>
    <x v="1"/>
    <x v="5"/>
    <x v="4"/>
    <x v="0"/>
    <x v="0"/>
    <x v="1"/>
    <x v="0"/>
    <x v="2"/>
    <x v="32"/>
    <x v="1"/>
    <x v="0"/>
  </r>
  <r>
    <x v="97"/>
    <x v="0"/>
    <x v="43"/>
    <x v="28"/>
    <x v="0"/>
    <x v="0"/>
    <x v="3"/>
    <x v="0"/>
    <x v="24"/>
    <x v="16"/>
    <x v="0"/>
    <x v="1"/>
  </r>
  <r>
    <x v="98"/>
    <x v="1"/>
    <x v="3"/>
    <x v="4"/>
    <x v="0"/>
    <x v="0"/>
    <x v="4"/>
    <x v="0"/>
    <x v="15"/>
    <x v="50"/>
    <x v="1"/>
    <x v="0"/>
  </r>
  <r>
    <x v="99"/>
    <x v="0"/>
    <x v="44"/>
    <x v="0"/>
    <x v="0"/>
    <x v="1"/>
    <x v="0"/>
    <x v="0"/>
    <x v="3"/>
    <x v="28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2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6">
        <item x="27"/>
        <item x="22"/>
        <item x="21"/>
        <item x="17"/>
        <item x="1"/>
        <item x="32"/>
        <item x="18"/>
        <item x="38"/>
        <item x="26"/>
        <item x="43"/>
        <item x="4"/>
        <item x="33"/>
        <item x="37"/>
        <item x="28"/>
        <item x="14"/>
        <item x="42"/>
        <item x="34"/>
        <item x="44"/>
        <item x="40"/>
        <item x="35"/>
        <item x="24"/>
        <item x="36"/>
        <item x="29"/>
        <item x="25"/>
        <item x="30"/>
        <item x="13"/>
        <item x="16"/>
        <item x="0"/>
        <item x="41"/>
        <item x="23"/>
        <item x="3"/>
        <item x="10"/>
        <item x="12"/>
        <item x="19"/>
        <item x="7"/>
        <item x="39"/>
        <item x="31"/>
        <item x="9"/>
        <item x="6"/>
        <item x="15"/>
        <item x="11"/>
        <item x="20"/>
        <item x="2"/>
        <item x="8"/>
        <item x="5"/>
        <item t="default"/>
      </items>
    </pivotField>
    <pivotField compact="0" showAll="0">
      <items count="30">
        <item x="14"/>
        <item x="4"/>
        <item x="10"/>
        <item x="2"/>
        <item x="9"/>
        <item x="17"/>
        <item x="12"/>
        <item x="5"/>
        <item x="3"/>
        <item x="0"/>
        <item x="7"/>
        <item x="11"/>
        <item x="6"/>
        <item x="8"/>
        <item x="1"/>
        <item x="26"/>
        <item x="16"/>
        <item x="18"/>
        <item x="15"/>
        <item x="22"/>
        <item x="21"/>
        <item x="13"/>
        <item x="24"/>
        <item x="19"/>
        <item x="25"/>
        <item x="20"/>
        <item x="28"/>
        <item x="27"/>
        <item x="23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showAll="0">
      <items count="5">
        <item x="3"/>
        <item x="2"/>
        <item x="0"/>
        <item x="1"/>
        <item t="default"/>
      </items>
    </pivotField>
    <pivotField compact="0" showAll="0">
      <items count="11">
        <item x="1"/>
        <item x="6"/>
        <item x="4"/>
        <item x="0"/>
        <item x="7"/>
        <item x="5"/>
        <item x="9"/>
        <item x="8"/>
        <item x="3"/>
        <item x="2"/>
        <item t="default"/>
      </items>
    </pivotField>
    <pivotField dataField="1" compact="0" showAll="0">
      <items count="2">
        <item x="0"/>
        <item t="default"/>
      </items>
    </pivotField>
    <pivotField compact="0" showAll="0">
      <items count="26">
        <item x="11"/>
        <item x="12"/>
        <item x="7"/>
        <item x="17"/>
        <item x="1"/>
        <item x="13"/>
        <item x="9"/>
        <item x="2"/>
        <item x="15"/>
        <item x="3"/>
        <item x="5"/>
        <item x="16"/>
        <item x="4"/>
        <item x="18"/>
        <item x="19"/>
        <item x="0"/>
        <item x="8"/>
        <item x="14"/>
        <item x="6"/>
        <item x="23"/>
        <item x="10"/>
        <item x="21"/>
        <item x="24"/>
        <item x="22"/>
        <item x="20"/>
        <item t="default"/>
      </items>
    </pivotField>
    <pivotField compact="0" showAll="0">
      <items count="52">
        <item x="1"/>
        <item x="46"/>
        <item x="17"/>
        <item x="48"/>
        <item x="41"/>
        <item x="47"/>
        <item x="50"/>
        <item x="25"/>
        <item x="9"/>
        <item x="21"/>
        <item x="2"/>
        <item x="8"/>
        <item x="27"/>
        <item x="26"/>
        <item x="32"/>
        <item x="22"/>
        <item x="4"/>
        <item x="24"/>
        <item x="45"/>
        <item x="18"/>
        <item x="7"/>
        <item x="40"/>
        <item x="6"/>
        <item x="0"/>
        <item x="13"/>
        <item x="10"/>
        <item x="37"/>
        <item x="35"/>
        <item x="12"/>
        <item x="11"/>
        <item x="15"/>
        <item x="36"/>
        <item x="28"/>
        <item x="23"/>
        <item x="49"/>
        <item x="5"/>
        <item x="20"/>
        <item x="19"/>
        <item x="3"/>
        <item x="34"/>
        <item x="39"/>
        <item x="31"/>
        <item x="38"/>
        <item x="43"/>
        <item x="42"/>
        <item x="14"/>
        <item x="44"/>
        <item x="16"/>
        <item x="29"/>
        <item x="30"/>
        <item x="3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arget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7" firstHeaderRow="1" firstDataRow="1" firstDataCol="1"/>
  <pivotFields count="12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6">
        <item x="27"/>
        <item x="22"/>
        <item x="21"/>
        <item x="17"/>
        <item x="1"/>
        <item x="32"/>
        <item x="18"/>
        <item x="38"/>
        <item x="26"/>
        <item x="43"/>
        <item x="4"/>
        <item x="33"/>
        <item x="37"/>
        <item x="28"/>
        <item x="14"/>
        <item x="42"/>
        <item x="34"/>
        <item x="44"/>
        <item x="40"/>
        <item x="35"/>
        <item x="24"/>
        <item x="36"/>
        <item x="29"/>
        <item x="25"/>
        <item x="30"/>
        <item x="13"/>
        <item x="16"/>
        <item x="0"/>
        <item x="41"/>
        <item x="23"/>
        <item x="3"/>
        <item x="10"/>
        <item x="12"/>
        <item x="19"/>
        <item x="7"/>
        <item x="39"/>
        <item x="31"/>
        <item x="9"/>
        <item x="6"/>
        <item x="15"/>
        <item x="11"/>
        <item x="20"/>
        <item x="2"/>
        <item x="8"/>
        <item x="5"/>
        <item t="default"/>
      </items>
    </pivotField>
    <pivotField dataField="1" compact="0" showAll="0">
      <items count="30">
        <item x="14"/>
        <item x="4"/>
        <item x="10"/>
        <item x="2"/>
        <item x="9"/>
        <item x="17"/>
        <item x="12"/>
        <item x="5"/>
        <item x="3"/>
        <item x="0"/>
        <item x="7"/>
        <item x="11"/>
        <item x="6"/>
        <item x="8"/>
        <item x="1"/>
        <item x="26"/>
        <item x="16"/>
        <item x="18"/>
        <item x="15"/>
        <item x="22"/>
        <item x="21"/>
        <item x="13"/>
        <item x="24"/>
        <item x="19"/>
        <item x="25"/>
        <item x="20"/>
        <item x="28"/>
        <item x="27"/>
        <item x="2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11">
        <item x="1"/>
        <item x="6"/>
        <item x="4"/>
        <item x="0"/>
        <item x="7"/>
        <item x="5"/>
        <item x="9"/>
        <item x="8"/>
        <item x="3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26">
        <item x="11"/>
        <item x="12"/>
        <item x="7"/>
        <item x="17"/>
        <item x="1"/>
        <item x="13"/>
        <item x="9"/>
        <item x="2"/>
        <item x="15"/>
        <item x="3"/>
        <item x="5"/>
        <item x="16"/>
        <item x="4"/>
        <item x="18"/>
        <item x="19"/>
        <item x="0"/>
        <item x="8"/>
        <item x="14"/>
        <item x="6"/>
        <item x="23"/>
        <item x="10"/>
        <item x="21"/>
        <item x="24"/>
        <item x="22"/>
        <item x="20"/>
        <item t="default"/>
      </items>
    </pivotField>
    <pivotField compact="0" showAll="0">
      <items count="52">
        <item x="1"/>
        <item x="46"/>
        <item x="17"/>
        <item x="48"/>
        <item x="41"/>
        <item x="47"/>
        <item x="50"/>
        <item x="25"/>
        <item x="9"/>
        <item x="21"/>
        <item x="2"/>
        <item x="8"/>
        <item x="27"/>
        <item x="26"/>
        <item x="32"/>
        <item x="22"/>
        <item x="4"/>
        <item x="24"/>
        <item x="45"/>
        <item x="18"/>
        <item x="7"/>
        <item x="40"/>
        <item x="6"/>
        <item x="0"/>
        <item x="13"/>
        <item x="10"/>
        <item x="37"/>
        <item x="35"/>
        <item x="12"/>
        <item x="11"/>
        <item x="15"/>
        <item x="36"/>
        <item x="28"/>
        <item x="23"/>
        <item x="49"/>
        <item x="5"/>
        <item x="20"/>
        <item x="19"/>
        <item x="3"/>
        <item x="34"/>
        <item x="39"/>
        <item x="31"/>
        <item x="38"/>
        <item x="43"/>
        <item x="42"/>
        <item x="14"/>
        <item x="44"/>
        <item x="16"/>
        <item x="29"/>
        <item x="30"/>
        <item x="33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4">
        <item x="1"/>
        <item x="0"/>
        <item x="2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los_days" fld="3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7" firstHeaderRow="1" firstDataRow="1" firstDataCol="1"/>
  <pivotFields count="12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6">
        <item x="27"/>
        <item x="22"/>
        <item x="21"/>
        <item x="17"/>
        <item x="1"/>
        <item x="32"/>
        <item x="18"/>
        <item x="38"/>
        <item x="26"/>
        <item x="43"/>
        <item x="4"/>
        <item x="33"/>
        <item x="37"/>
        <item x="28"/>
        <item x="14"/>
        <item x="42"/>
        <item x="34"/>
        <item x="44"/>
        <item x="40"/>
        <item x="35"/>
        <item x="24"/>
        <item x="36"/>
        <item x="29"/>
        <item x="25"/>
        <item x="30"/>
        <item x="13"/>
        <item x="16"/>
        <item x="0"/>
        <item x="41"/>
        <item x="23"/>
        <item x="3"/>
        <item x="10"/>
        <item x="12"/>
        <item x="19"/>
        <item x="7"/>
        <item x="39"/>
        <item x="31"/>
        <item x="9"/>
        <item x="6"/>
        <item x="15"/>
        <item x="11"/>
        <item x="20"/>
        <item x="2"/>
        <item x="8"/>
        <item x="5"/>
        <item t="default"/>
      </items>
    </pivotField>
    <pivotField compact="0" showAll="0">
      <items count="30">
        <item x="14"/>
        <item x="4"/>
        <item x="10"/>
        <item x="2"/>
        <item x="9"/>
        <item x="17"/>
        <item x="12"/>
        <item x="5"/>
        <item x="3"/>
        <item x="0"/>
        <item x="7"/>
        <item x="11"/>
        <item x="6"/>
        <item x="8"/>
        <item x="1"/>
        <item x="26"/>
        <item x="16"/>
        <item x="18"/>
        <item x="15"/>
        <item x="22"/>
        <item x="21"/>
        <item x="13"/>
        <item x="24"/>
        <item x="19"/>
        <item x="25"/>
        <item x="20"/>
        <item x="28"/>
        <item x="27"/>
        <item x="2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11">
        <item x="1"/>
        <item x="6"/>
        <item x="4"/>
        <item x="0"/>
        <item x="7"/>
        <item x="5"/>
        <item x="9"/>
        <item x="8"/>
        <item x="3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26">
        <item x="11"/>
        <item x="12"/>
        <item x="7"/>
        <item x="17"/>
        <item x="1"/>
        <item x="13"/>
        <item x="9"/>
        <item x="2"/>
        <item x="15"/>
        <item x="3"/>
        <item x="5"/>
        <item x="16"/>
        <item x="4"/>
        <item x="18"/>
        <item x="19"/>
        <item x="0"/>
        <item x="8"/>
        <item x="14"/>
        <item x="6"/>
        <item x="23"/>
        <item x="10"/>
        <item x="21"/>
        <item x="24"/>
        <item x="22"/>
        <item x="20"/>
        <item t="default"/>
      </items>
    </pivotField>
    <pivotField compact="0" showAll="0">
      <items count="52">
        <item x="1"/>
        <item x="46"/>
        <item x="17"/>
        <item x="48"/>
        <item x="41"/>
        <item x="47"/>
        <item x="50"/>
        <item x="25"/>
        <item x="9"/>
        <item x="21"/>
        <item x="2"/>
        <item x="8"/>
        <item x="27"/>
        <item x="26"/>
        <item x="32"/>
        <item x="22"/>
        <item x="4"/>
        <item x="24"/>
        <item x="45"/>
        <item x="18"/>
        <item x="7"/>
        <item x="40"/>
        <item x="6"/>
        <item x="0"/>
        <item x="13"/>
        <item x="10"/>
        <item x="37"/>
        <item x="35"/>
        <item x="12"/>
        <item x="11"/>
        <item x="15"/>
        <item x="36"/>
        <item x="28"/>
        <item x="23"/>
        <item x="49"/>
        <item x="5"/>
        <item x="20"/>
        <item x="19"/>
        <item x="3"/>
        <item x="34"/>
        <item x="39"/>
        <item x="31"/>
        <item x="38"/>
        <item x="43"/>
        <item x="42"/>
        <item x="14"/>
        <item x="44"/>
        <item x="16"/>
        <item x="29"/>
        <item x="30"/>
        <item x="33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bjec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nsurance" sourceName="insurance">
  <pivotTables>
    <pivotTable tabId="5" name="PivotTable4"/>
    <pivotTable tabId="3" name="PivotTable2"/>
    <pivotTable tabId="4" name="PivotTable3"/>
  </pivotTables>
  <data>
    <tabular pivotCacheId="1">
      <items count="4">
        <i x="3" s="1"/>
        <i x="2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5" name="PivotTable4"/>
    <pivotTable tabId="3" name="PivotTable2"/>
    <pivotTable tabId="4" name="PivotTable3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25425"/>
  <slicer name="insurance" cache="Slicer_insurance" caption="insurance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 1" cache="Slicer_gender" caption="gender" rowHeight="225425"/>
  <slicer name="insurance 2" cache="Slicer_insurance" caption="insurance" rowHeight="225425"/>
</slicers>
</file>

<file path=xl/tables/table1.xml><?xml version="1.0" encoding="utf-8"?>
<table xmlns="http://schemas.openxmlformats.org/spreadsheetml/2006/main" id="1" name="Table1" displayName="Table1" ref="A1:M130" totalsRowShown="0">
  <autoFilter xmlns:etc="http://www.wps.cn/officeDocument/2017/etCustomData" ref="A1:M130" etc:filterBottomFollowUsedRange="0"/>
  <tableColumns count="13">
    <tableColumn id="1" name="subject_id"/>
    <tableColumn id="2" name="gender"/>
    <tableColumn id="3" name="age"/>
    <tableColumn id="4" name="los_days"/>
    <tableColumn id="5" name="admission_type"/>
    <tableColumn id="6" name="insurance"/>
    <tableColumn id="7" name="discharge_location"/>
    <tableColumn id="8" name="target"/>
    <tableColumn id="9" name="num_diagnoses"/>
    <tableColumn id="10" name="num_drugs"/>
    <tableColumn id="11" name="los_category"/>
    <tableColumn id="12" name="age_group"/>
    <tableColumn id="13" name="Risk Label" dataDxfId="0">
      <calculatedColumnFormula>IF(V3=1,"Readmitted","Not Readmitted")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F4" sqref="F4"/>
    </sheetView>
  </sheetViews>
  <sheetFormatPr defaultColWidth="8.88888888888889" defaultRowHeight="14.4" outlineLevelRow="7" outlineLevelCol="1"/>
  <cols>
    <col min="1" max="1" width="12"/>
    <col min="2" max="2" width="15"/>
  </cols>
  <sheetData>
    <row r="3" spans="1:2">
      <c r="A3" t="s">
        <v>0</v>
      </c>
      <c r="B3" t="s">
        <v>1</v>
      </c>
    </row>
    <row r="4" spans="1:2">
      <c r="A4" t="s">
        <v>2</v>
      </c>
      <c r="B4">
        <v>1</v>
      </c>
    </row>
    <row r="5" spans="1:2">
      <c r="A5" t="s">
        <v>3</v>
      </c>
      <c r="B5">
        <v>6</v>
      </c>
    </row>
    <row r="6" spans="1:2">
      <c r="A6" t="s">
        <v>4</v>
      </c>
      <c r="B6">
        <v>98</v>
      </c>
    </row>
    <row r="7" spans="1:2">
      <c r="A7" t="s">
        <v>5</v>
      </c>
      <c r="B7">
        <v>24</v>
      </c>
    </row>
    <row r="8" spans="1:2">
      <c r="A8" t="s">
        <v>6</v>
      </c>
      <c r="B8">
        <v>129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K3" sqref="K3"/>
    </sheetView>
  </sheetViews>
  <sheetFormatPr defaultColWidth="8.88888888888889" defaultRowHeight="14.4" outlineLevelRow="6" outlineLevelCol="1"/>
  <cols>
    <col min="1" max="1" width="12.7777777777778"/>
    <col min="2" max="2" width="19.5555555555556"/>
  </cols>
  <sheetData>
    <row r="3" spans="1:2">
      <c r="A3" t="s">
        <v>7</v>
      </c>
      <c r="B3" t="s">
        <v>8</v>
      </c>
    </row>
    <row r="4" spans="1:2">
      <c r="A4" t="s">
        <v>9</v>
      </c>
      <c r="B4">
        <v>26</v>
      </c>
    </row>
    <row r="5" spans="1:2">
      <c r="A5" t="s">
        <v>10</v>
      </c>
      <c r="B5">
        <v>7.88495575221239</v>
      </c>
    </row>
    <row r="6" spans="1:2">
      <c r="A6" t="s">
        <v>11</v>
      </c>
      <c r="B6">
        <v>5.6</v>
      </c>
    </row>
    <row r="7" spans="1:2">
      <c r="A7" t="s">
        <v>6</v>
      </c>
      <c r="B7">
        <v>9.34108527131783</v>
      </c>
    </row>
  </sheetData>
  <pageMargins left="0.75" right="0.75" top="1" bottom="1" header="0.5" footer="0.5"/>
  <pageSetup paperSize="1" orientation="portrait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topLeftCell="A4" workbookViewId="0">
      <selection activeCell="E21" sqref="E21"/>
    </sheetView>
  </sheetViews>
  <sheetFormatPr defaultColWidth="8.88888888888889" defaultRowHeight="14.4" outlineLevelRow="6" outlineLevelCol="1"/>
  <cols>
    <col min="1" max="1" width="14.6666666666667"/>
    <col min="2" max="2" width="19.1111111111111"/>
    <col min="3" max="3" width="18.4444444444444"/>
  </cols>
  <sheetData>
    <row r="3" spans="1:2">
      <c r="A3" t="s">
        <v>12</v>
      </c>
      <c r="B3" t="s">
        <v>13</v>
      </c>
    </row>
    <row r="4" spans="1:2">
      <c r="A4" t="s">
        <v>14</v>
      </c>
      <c r="B4">
        <v>52</v>
      </c>
    </row>
    <row r="5" spans="1:2">
      <c r="A5" t="s">
        <v>15</v>
      </c>
      <c r="B5">
        <v>42</v>
      </c>
    </row>
    <row r="6" spans="1:2">
      <c r="A6" t="s">
        <v>16</v>
      </c>
      <c r="B6">
        <v>35</v>
      </c>
    </row>
    <row r="7" spans="1:2">
      <c r="A7" t="s">
        <v>6</v>
      </c>
      <c r="B7">
        <v>129</v>
      </c>
    </row>
  </sheetData>
  <pageMargins left="0.75" right="0.75" top="1" bottom="1" header="0.5" footer="0.5"/>
  <pageSetup paperSize="1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0"/>
  <sheetViews>
    <sheetView zoomScaleSheetLayoutView="60" workbookViewId="0">
      <selection activeCell="O15" sqref="O15"/>
    </sheetView>
  </sheetViews>
  <sheetFormatPr defaultColWidth="10" defaultRowHeight="14.4"/>
  <cols>
    <col min="1" max="1" width="10.4444444444444" customWidth="1"/>
    <col min="7" max="7" width="29.7777777777778" customWidth="1"/>
    <col min="13" max="13" width="16.4444444444444" customWidth="1"/>
  </cols>
  <sheetData>
    <row r="1" spans="1:13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0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12</v>
      </c>
      <c r="L1" s="3" t="s">
        <v>7</v>
      </c>
      <c r="M1" s="4" t="s">
        <v>26</v>
      </c>
    </row>
    <row r="2" spans="1:13">
      <c r="A2" s="4">
        <v>10006</v>
      </c>
      <c r="B2" s="4" t="s">
        <v>27</v>
      </c>
      <c r="C2" s="4">
        <v>70</v>
      </c>
      <c r="D2" s="4">
        <v>9</v>
      </c>
      <c r="E2" s="4" t="s">
        <v>28</v>
      </c>
      <c r="F2" s="4" t="s">
        <v>4</v>
      </c>
      <c r="G2" s="4" t="s">
        <v>29</v>
      </c>
      <c r="H2" s="4">
        <v>0</v>
      </c>
      <c r="I2" s="4">
        <v>17</v>
      </c>
      <c r="J2" s="4">
        <v>32</v>
      </c>
      <c r="K2" s="4" t="s">
        <v>14</v>
      </c>
      <c r="L2" s="4" t="s">
        <v>10</v>
      </c>
      <c r="M2" s="5" t="s">
        <v>30</v>
      </c>
    </row>
    <row r="3" spans="1:13">
      <c r="A3" s="4">
        <v>10011</v>
      </c>
      <c r="B3" s="4" t="s">
        <v>27</v>
      </c>
      <c r="C3" s="4">
        <v>36</v>
      </c>
      <c r="D3" s="4">
        <v>14</v>
      </c>
      <c r="E3" s="4" t="s">
        <v>28</v>
      </c>
      <c r="F3" s="4" t="s">
        <v>5</v>
      </c>
      <c r="G3" s="4" t="s">
        <v>31</v>
      </c>
      <c r="H3" s="4">
        <v>1</v>
      </c>
      <c r="I3" s="4">
        <v>6</v>
      </c>
      <c r="J3" s="4">
        <v>0</v>
      </c>
      <c r="K3" s="4" t="s">
        <v>14</v>
      </c>
      <c r="L3" s="4" t="s">
        <v>9</v>
      </c>
      <c r="M3" s="4" t="s">
        <v>32</v>
      </c>
    </row>
    <row r="4" spans="1:13">
      <c r="A4" s="4">
        <v>10013</v>
      </c>
      <c r="B4" s="4" t="s">
        <v>27</v>
      </c>
      <c r="C4" s="4">
        <v>87</v>
      </c>
      <c r="D4" s="4">
        <v>3</v>
      </c>
      <c r="E4" s="4" t="s">
        <v>28</v>
      </c>
      <c r="F4" s="4" t="s">
        <v>4</v>
      </c>
      <c r="G4" s="4" t="s">
        <v>31</v>
      </c>
      <c r="H4" s="4">
        <v>0</v>
      </c>
      <c r="I4" s="4">
        <v>9</v>
      </c>
      <c r="J4" s="4">
        <v>19</v>
      </c>
      <c r="K4" s="4" t="s">
        <v>16</v>
      </c>
      <c r="L4" s="4" t="s">
        <v>10</v>
      </c>
      <c r="M4" s="4" t="s">
        <v>30</v>
      </c>
    </row>
    <row r="5" spans="1:13">
      <c r="A5" s="4">
        <v>10017</v>
      </c>
      <c r="B5" s="4" t="s">
        <v>27</v>
      </c>
      <c r="C5" s="4">
        <v>73</v>
      </c>
      <c r="D5" s="4">
        <v>8</v>
      </c>
      <c r="E5" s="4" t="s">
        <v>28</v>
      </c>
      <c r="F5" s="4" t="s">
        <v>4</v>
      </c>
      <c r="G5" s="4" t="s">
        <v>33</v>
      </c>
      <c r="H5" s="4">
        <v>1</v>
      </c>
      <c r="I5" s="4">
        <v>11</v>
      </c>
      <c r="J5" s="4">
        <v>49</v>
      </c>
      <c r="K5" s="4" t="s">
        <v>14</v>
      </c>
      <c r="L5" s="4" t="s">
        <v>10</v>
      </c>
      <c r="M5" s="4" t="s">
        <v>32</v>
      </c>
    </row>
    <row r="6" spans="1:13">
      <c r="A6" s="4">
        <v>10019</v>
      </c>
      <c r="B6" s="4" t="s">
        <v>34</v>
      </c>
      <c r="C6" s="4">
        <v>48</v>
      </c>
      <c r="D6" s="4">
        <v>1</v>
      </c>
      <c r="E6" s="4" t="s">
        <v>28</v>
      </c>
      <c r="F6" s="4" t="s">
        <v>4</v>
      </c>
      <c r="G6" s="4" t="s">
        <v>31</v>
      </c>
      <c r="H6" s="4">
        <v>0</v>
      </c>
      <c r="I6" s="4">
        <v>14</v>
      </c>
      <c r="J6" s="4">
        <v>32</v>
      </c>
      <c r="K6" s="4" t="s">
        <v>16</v>
      </c>
      <c r="L6" s="4" t="s">
        <v>9</v>
      </c>
      <c r="M6" s="4" t="s">
        <v>30</v>
      </c>
    </row>
    <row r="7" spans="1:13">
      <c r="A7" s="4">
        <v>10026</v>
      </c>
      <c r="B7" s="4" t="s">
        <v>27</v>
      </c>
      <c r="C7" s="4">
        <v>300</v>
      </c>
      <c r="D7" s="4">
        <v>7</v>
      </c>
      <c r="E7" s="4" t="s">
        <v>28</v>
      </c>
      <c r="F7" s="4" t="s">
        <v>4</v>
      </c>
      <c r="G7" s="4" t="s">
        <v>35</v>
      </c>
      <c r="H7" s="4">
        <v>0</v>
      </c>
      <c r="I7" s="4">
        <v>6</v>
      </c>
      <c r="J7" s="4">
        <v>25</v>
      </c>
      <c r="K7" s="4" t="s">
        <v>15</v>
      </c>
      <c r="L7" s="4" t="s">
        <v>10</v>
      </c>
      <c r="M7" s="4" t="s">
        <v>30</v>
      </c>
    </row>
    <row r="8" spans="1:13">
      <c r="A8" s="4">
        <v>10027</v>
      </c>
      <c r="B8" s="4" t="s">
        <v>27</v>
      </c>
      <c r="C8" s="4">
        <v>82</v>
      </c>
      <c r="D8" s="4">
        <v>12</v>
      </c>
      <c r="E8" s="4" t="s">
        <v>36</v>
      </c>
      <c r="F8" s="4" t="s">
        <v>4</v>
      </c>
      <c r="G8" s="4" t="s">
        <v>33</v>
      </c>
      <c r="H8" s="4">
        <v>0</v>
      </c>
      <c r="I8" s="4">
        <v>12</v>
      </c>
      <c r="J8" s="4">
        <v>44</v>
      </c>
      <c r="K8" s="4" t="s">
        <v>14</v>
      </c>
      <c r="L8" s="4" t="s">
        <v>10</v>
      </c>
      <c r="M8" s="4" t="s">
        <v>30</v>
      </c>
    </row>
    <row r="9" spans="1:13">
      <c r="A9" s="4">
        <v>10029</v>
      </c>
      <c r="B9" s="4" t="s">
        <v>34</v>
      </c>
      <c r="C9" s="4">
        <v>78</v>
      </c>
      <c r="D9" s="4">
        <v>10</v>
      </c>
      <c r="E9" s="4" t="s">
        <v>28</v>
      </c>
      <c r="F9" s="4" t="s">
        <v>4</v>
      </c>
      <c r="G9" s="4" t="s">
        <v>33</v>
      </c>
      <c r="H9" s="4">
        <v>0</v>
      </c>
      <c r="I9" s="4">
        <v>20</v>
      </c>
      <c r="J9" s="4">
        <v>31</v>
      </c>
      <c r="K9" s="4" t="s">
        <v>14</v>
      </c>
      <c r="L9" s="4" t="s">
        <v>10</v>
      </c>
      <c r="M9" s="4" t="s">
        <v>30</v>
      </c>
    </row>
    <row r="10" spans="1:13">
      <c r="A10" s="4">
        <v>10032</v>
      </c>
      <c r="B10" s="4" t="s">
        <v>34</v>
      </c>
      <c r="C10" s="4">
        <v>88</v>
      </c>
      <c r="D10" s="4">
        <v>13</v>
      </c>
      <c r="E10" s="4" t="s">
        <v>28</v>
      </c>
      <c r="F10" s="4" t="s">
        <v>4</v>
      </c>
      <c r="G10" s="4" t="s">
        <v>35</v>
      </c>
      <c r="H10" s="4">
        <v>1</v>
      </c>
      <c r="I10" s="4">
        <v>9</v>
      </c>
      <c r="J10" s="4">
        <v>29</v>
      </c>
      <c r="K10" s="4" t="s">
        <v>14</v>
      </c>
      <c r="L10" s="4" t="s">
        <v>10</v>
      </c>
      <c r="M10" s="4" t="s">
        <v>32</v>
      </c>
    </row>
    <row r="11" spans="1:13">
      <c r="A11" s="4">
        <v>10033</v>
      </c>
      <c r="B11" s="4" t="s">
        <v>27</v>
      </c>
      <c r="C11" s="4">
        <v>81</v>
      </c>
      <c r="D11" s="4">
        <v>3</v>
      </c>
      <c r="E11" s="4" t="s">
        <v>28</v>
      </c>
      <c r="F11" s="4" t="s">
        <v>4</v>
      </c>
      <c r="G11" s="4" t="s">
        <v>33</v>
      </c>
      <c r="H11" s="4">
        <v>1</v>
      </c>
      <c r="I11" s="4">
        <v>11</v>
      </c>
      <c r="J11" s="4">
        <v>20</v>
      </c>
      <c r="K11" s="4" t="s">
        <v>16</v>
      </c>
      <c r="L11" s="4" t="s">
        <v>10</v>
      </c>
      <c r="M11" s="4" t="s">
        <v>32</v>
      </c>
    </row>
    <row r="12" spans="1:13">
      <c r="A12" s="4">
        <v>10035</v>
      </c>
      <c r="B12" s="4" t="s">
        <v>34</v>
      </c>
      <c r="C12" s="4">
        <v>75</v>
      </c>
      <c r="D12" s="4">
        <v>4</v>
      </c>
      <c r="E12" s="4" t="s">
        <v>36</v>
      </c>
      <c r="F12" s="4" t="s">
        <v>4</v>
      </c>
      <c r="G12" s="4" t="s">
        <v>37</v>
      </c>
      <c r="H12" s="4">
        <v>0</v>
      </c>
      <c r="I12" s="4">
        <v>4</v>
      </c>
      <c r="J12" s="4">
        <v>19</v>
      </c>
      <c r="K12" s="4" t="s">
        <v>15</v>
      </c>
      <c r="L12" s="4" t="s">
        <v>10</v>
      </c>
      <c r="M12" s="4" t="s">
        <v>30</v>
      </c>
    </row>
    <row r="13" spans="1:13">
      <c r="A13" s="4">
        <v>10036</v>
      </c>
      <c r="B13" s="4" t="s">
        <v>27</v>
      </c>
      <c r="C13" s="4">
        <v>300</v>
      </c>
      <c r="D13" s="4">
        <v>2</v>
      </c>
      <c r="E13" s="4" t="s">
        <v>28</v>
      </c>
      <c r="F13" s="4" t="s">
        <v>4</v>
      </c>
      <c r="G13" s="4" t="s">
        <v>31</v>
      </c>
      <c r="H13" s="4">
        <v>1</v>
      </c>
      <c r="I13" s="4">
        <v>14</v>
      </c>
      <c r="J13" s="4">
        <v>17</v>
      </c>
      <c r="K13" s="4" t="s">
        <v>16</v>
      </c>
      <c r="L13" s="4" t="s">
        <v>10</v>
      </c>
      <c r="M13" s="4" t="s">
        <v>32</v>
      </c>
    </row>
    <row r="14" spans="1:13">
      <c r="A14" s="4">
        <v>10038</v>
      </c>
      <c r="B14" s="4" t="s">
        <v>27</v>
      </c>
      <c r="C14" s="4">
        <v>88</v>
      </c>
      <c r="D14" s="4">
        <v>12</v>
      </c>
      <c r="E14" s="4" t="s">
        <v>28</v>
      </c>
      <c r="F14" s="4" t="s">
        <v>4</v>
      </c>
      <c r="G14" s="4" t="s">
        <v>33</v>
      </c>
      <c r="H14" s="4">
        <v>0</v>
      </c>
      <c r="I14" s="4">
        <v>18</v>
      </c>
      <c r="J14" s="4">
        <v>34</v>
      </c>
      <c r="K14" s="4" t="s">
        <v>14</v>
      </c>
      <c r="L14" s="4" t="s">
        <v>10</v>
      </c>
      <c r="M14" s="4" t="s">
        <v>30</v>
      </c>
    </row>
    <row r="15" spans="1:13">
      <c r="A15" s="4">
        <v>10040</v>
      </c>
      <c r="B15" s="4" t="s">
        <v>27</v>
      </c>
      <c r="C15" s="4">
        <v>85</v>
      </c>
      <c r="D15" s="4">
        <v>4</v>
      </c>
      <c r="E15" s="4" t="s">
        <v>28</v>
      </c>
      <c r="F15" s="4" t="s">
        <v>4</v>
      </c>
      <c r="G15" s="4" t="s">
        <v>35</v>
      </c>
      <c r="H15" s="4">
        <v>0</v>
      </c>
      <c r="I15" s="4">
        <v>9</v>
      </c>
      <c r="J15" s="4">
        <v>31</v>
      </c>
      <c r="K15" s="4" t="s">
        <v>15</v>
      </c>
      <c r="L15" s="4" t="s">
        <v>10</v>
      </c>
      <c r="M15" s="4" t="s">
        <v>30</v>
      </c>
    </row>
    <row r="16" spans="1:13">
      <c r="A16" s="4">
        <v>10042</v>
      </c>
      <c r="B16" s="4" t="s">
        <v>34</v>
      </c>
      <c r="C16" s="4">
        <v>70</v>
      </c>
      <c r="D16" s="4">
        <v>11</v>
      </c>
      <c r="E16" s="4" t="s">
        <v>28</v>
      </c>
      <c r="F16" s="4" t="s">
        <v>4</v>
      </c>
      <c r="G16" s="4" t="s">
        <v>29</v>
      </c>
      <c r="H16" s="4">
        <v>0</v>
      </c>
      <c r="I16" s="4">
        <v>9</v>
      </c>
      <c r="J16" s="4">
        <v>38</v>
      </c>
      <c r="K16" s="4" t="s">
        <v>14</v>
      </c>
      <c r="L16" s="4" t="s">
        <v>10</v>
      </c>
      <c r="M16" s="4" t="s">
        <v>30</v>
      </c>
    </row>
    <row r="17" spans="1:13">
      <c r="A17" s="4">
        <v>10043</v>
      </c>
      <c r="B17" s="4" t="s">
        <v>34</v>
      </c>
      <c r="C17" s="4">
        <v>76</v>
      </c>
      <c r="D17" s="4">
        <v>12</v>
      </c>
      <c r="E17" s="4" t="s">
        <v>28</v>
      </c>
      <c r="F17" s="4" t="s">
        <v>4</v>
      </c>
      <c r="G17" s="4" t="s">
        <v>33</v>
      </c>
      <c r="H17" s="4">
        <v>0</v>
      </c>
      <c r="I17" s="4">
        <v>8</v>
      </c>
      <c r="J17" s="4">
        <v>37</v>
      </c>
      <c r="K17" s="4" t="s">
        <v>14</v>
      </c>
      <c r="L17" s="4" t="s">
        <v>10</v>
      </c>
      <c r="M17" s="4" t="s">
        <v>30</v>
      </c>
    </row>
    <row r="18" spans="1:13">
      <c r="A18" s="4">
        <v>10044</v>
      </c>
      <c r="B18" s="4" t="s">
        <v>27</v>
      </c>
      <c r="C18" s="4">
        <v>81</v>
      </c>
      <c r="D18" s="4">
        <v>9</v>
      </c>
      <c r="E18" s="4" t="s">
        <v>28</v>
      </c>
      <c r="F18" s="4" t="s">
        <v>4</v>
      </c>
      <c r="G18" s="4" t="s">
        <v>37</v>
      </c>
      <c r="H18" s="4">
        <v>0</v>
      </c>
      <c r="I18" s="4">
        <v>9</v>
      </c>
      <c r="J18" s="4">
        <v>33</v>
      </c>
      <c r="K18" s="4" t="s">
        <v>14</v>
      </c>
      <c r="L18" s="4" t="s">
        <v>10</v>
      </c>
      <c r="M18" s="4" t="s">
        <v>30</v>
      </c>
    </row>
    <row r="19" spans="1:13">
      <c r="A19" s="4">
        <v>10045</v>
      </c>
      <c r="B19" s="4" t="s">
        <v>27</v>
      </c>
      <c r="C19" s="4">
        <v>68</v>
      </c>
      <c r="D19" s="4">
        <v>7</v>
      </c>
      <c r="E19" s="4" t="s">
        <v>28</v>
      </c>
      <c r="F19" s="4" t="s">
        <v>4</v>
      </c>
      <c r="G19" s="4" t="s">
        <v>31</v>
      </c>
      <c r="H19" s="4">
        <v>0</v>
      </c>
      <c r="I19" s="4">
        <v>22</v>
      </c>
      <c r="J19" s="4">
        <v>66</v>
      </c>
      <c r="K19" s="4" t="s">
        <v>15</v>
      </c>
      <c r="L19" s="4" t="s">
        <v>10</v>
      </c>
      <c r="M19" s="4" t="s">
        <v>30</v>
      </c>
    </row>
    <row r="20" spans="1:13">
      <c r="A20" s="4">
        <v>10046</v>
      </c>
      <c r="B20" s="4" t="s">
        <v>27</v>
      </c>
      <c r="C20" s="4">
        <v>53</v>
      </c>
      <c r="D20" s="4">
        <v>11</v>
      </c>
      <c r="E20" s="4" t="s">
        <v>28</v>
      </c>
      <c r="F20" s="4" t="s">
        <v>3</v>
      </c>
      <c r="G20" s="4" t="s">
        <v>35</v>
      </c>
      <c r="H20" s="4">
        <v>0</v>
      </c>
      <c r="I20" s="4">
        <v>2</v>
      </c>
      <c r="J20" s="4">
        <v>0</v>
      </c>
      <c r="K20" s="4" t="s">
        <v>14</v>
      </c>
      <c r="L20" s="4" t="s">
        <v>10</v>
      </c>
      <c r="M20" s="4" t="s">
        <v>30</v>
      </c>
    </row>
    <row r="21" spans="1:13">
      <c r="A21" s="4">
        <v>10056</v>
      </c>
      <c r="B21" s="4" t="s">
        <v>27</v>
      </c>
      <c r="C21" s="4">
        <v>83</v>
      </c>
      <c r="D21" s="4">
        <v>4</v>
      </c>
      <c r="E21" s="4" t="s">
        <v>28</v>
      </c>
      <c r="F21" s="4" t="s">
        <v>4</v>
      </c>
      <c r="G21" s="4" t="s">
        <v>33</v>
      </c>
      <c r="H21" s="4">
        <v>0</v>
      </c>
      <c r="I21" s="4">
        <v>9</v>
      </c>
      <c r="J21" s="4">
        <v>25</v>
      </c>
      <c r="K21" s="4" t="s">
        <v>15</v>
      </c>
      <c r="L21" s="4" t="s">
        <v>10</v>
      </c>
      <c r="M21" s="4" t="s">
        <v>30</v>
      </c>
    </row>
    <row r="22" spans="1:13">
      <c r="A22" s="4">
        <v>10059</v>
      </c>
      <c r="B22" s="4" t="s">
        <v>34</v>
      </c>
      <c r="C22" s="4">
        <v>69</v>
      </c>
      <c r="D22" s="4">
        <v>6</v>
      </c>
      <c r="E22" s="4" t="s">
        <v>28</v>
      </c>
      <c r="F22" s="4" t="s">
        <v>4</v>
      </c>
      <c r="G22" s="4" t="s">
        <v>37</v>
      </c>
      <c r="H22" s="4">
        <v>0</v>
      </c>
      <c r="I22" s="4">
        <v>9</v>
      </c>
      <c r="J22" s="4">
        <v>19</v>
      </c>
      <c r="K22" s="4" t="s">
        <v>15</v>
      </c>
      <c r="L22" s="4" t="s">
        <v>10</v>
      </c>
      <c r="M22" s="4" t="s">
        <v>30</v>
      </c>
    </row>
    <row r="23" spans="1:13">
      <c r="A23" s="4">
        <v>10059</v>
      </c>
      <c r="B23" s="4" t="s">
        <v>34</v>
      </c>
      <c r="C23" s="4">
        <v>69</v>
      </c>
      <c r="D23" s="4">
        <v>7</v>
      </c>
      <c r="E23" s="4" t="s">
        <v>28</v>
      </c>
      <c r="F23" s="4" t="s">
        <v>4</v>
      </c>
      <c r="G23" s="4" t="s">
        <v>31</v>
      </c>
      <c r="H23" s="4">
        <v>0</v>
      </c>
      <c r="I23" s="4">
        <v>14</v>
      </c>
      <c r="J23" s="4">
        <v>39</v>
      </c>
      <c r="K23" s="4" t="s">
        <v>15</v>
      </c>
      <c r="L23" s="4" t="s">
        <v>10</v>
      </c>
      <c r="M23" s="4" t="s">
        <v>30</v>
      </c>
    </row>
    <row r="24" spans="1:13">
      <c r="A24" s="4">
        <v>10061</v>
      </c>
      <c r="B24" s="4" t="s">
        <v>27</v>
      </c>
      <c r="C24" s="4">
        <v>75</v>
      </c>
      <c r="D24" s="4">
        <v>25</v>
      </c>
      <c r="E24" s="4" t="s">
        <v>28</v>
      </c>
      <c r="F24" s="4" t="s">
        <v>4</v>
      </c>
      <c r="G24" s="4" t="s">
        <v>35</v>
      </c>
      <c r="H24" s="4">
        <v>0</v>
      </c>
      <c r="I24" s="4">
        <v>9</v>
      </c>
      <c r="J24" s="4">
        <v>69</v>
      </c>
      <c r="K24" s="4" t="s">
        <v>14</v>
      </c>
      <c r="L24" s="4" t="s">
        <v>10</v>
      </c>
      <c r="M24" s="4" t="s">
        <v>30</v>
      </c>
    </row>
    <row r="25" spans="1:13">
      <c r="A25" s="4">
        <v>10064</v>
      </c>
      <c r="B25" s="4" t="s">
        <v>34</v>
      </c>
      <c r="C25" s="4">
        <v>68</v>
      </c>
      <c r="D25" s="4">
        <v>0</v>
      </c>
      <c r="E25" s="4" t="s">
        <v>28</v>
      </c>
      <c r="F25" s="4" t="s">
        <v>4</v>
      </c>
      <c r="G25" s="4" t="s">
        <v>31</v>
      </c>
      <c r="H25" s="4">
        <v>0</v>
      </c>
      <c r="I25" s="4">
        <v>3</v>
      </c>
      <c r="J25" s="4">
        <v>9</v>
      </c>
      <c r="K25" s="4" t="s">
        <v>16</v>
      </c>
      <c r="L25" s="4" t="s">
        <v>10</v>
      </c>
      <c r="M25" s="4" t="s">
        <v>30</v>
      </c>
    </row>
    <row r="26" spans="1:13">
      <c r="A26" s="4">
        <v>10065</v>
      </c>
      <c r="B26" s="4" t="s">
        <v>27</v>
      </c>
      <c r="C26" s="4">
        <v>78</v>
      </c>
      <c r="D26" s="4">
        <v>12</v>
      </c>
      <c r="E26" s="4" t="s">
        <v>36</v>
      </c>
      <c r="F26" s="4" t="s">
        <v>5</v>
      </c>
      <c r="G26" s="4" t="s">
        <v>33</v>
      </c>
      <c r="H26" s="4">
        <v>0</v>
      </c>
      <c r="I26" s="4">
        <v>11</v>
      </c>
      <c r="J26" s="4">
        <v>39</v>
      </c>
      <c r="K26" s="4" t="s">
        <v>14</v>
      </c>
      <c r="L26" s="4" t="s">
        <v>10</v>
      </c>
      <c r="M26" s="4" t="s">
        <v>30</v>
      </c>
    </row>
    <row r="27" spans="1:13">
      <c r="A27" s="4">
        <v>10067</v>
      </c>
      <c r="B27" s="4" t="s">
        <v>34</v>
      </c>
      <c r="C27" s="4">
        <v>29</v>
      </c>
      <c r="D27" s="4">
        <v>0</v>
      </c>
      <c r="E27" s="4" t="s">
        <v>28</v>
      </c>
      <c r="F27" s="4" t="s">
        <v>5</v>
      </c>
      <c r="G27" s="4" t="s">
        <v>31</v>
      </c>
      <c r="H27" s="4">
        <v>0</v>
      </c>
      <c r="I27" s="4">
        <v>7</v>
      </c>
      <c r="J27" s="4">
        <v>0</v>
      </c>
      <c r="K27" s="4" t="s">
        <v>16</v>
      </c>
      <c r="L27" s="4" t="s">
        <v>11</v>
      </c>
      <c r="M27" s="4" t="s">
        <v>30</v>
      </c>
    </row>
    <row r="28" spans="1:13">
      <c r="A28" s="4">
        <v>10069</v>
      </c>
      <c r="B28" s="4" t="s">
        <v>27</v>
      </c>
      <c r="C28" s="4">
        <v>41</v>
      </c>
      <c r="D28" s="4">
        <v>19</v>
      </c>
      <c r="E28" s="4" t="s">
        <v>28</v>
      </c>
      <c r="F28" s="4" t="s">
        <v>3</v>
      </c>
      <c r="G28" s="4" t="s">
        <v>31</v>
      </c>
      <c r="H28" s="4">
        <v>0</v>
      </c>
      <c r="I28" s="4">
        <v>9</v>
      </c>
      <c r="J28" s="4">
        <v>0</v>
      </c>
      <c r="K28" s="4" t="s">
        <v>14</v>
      </c>
      <c r="L28" s="4" t="s">
        <v>9</v>
      </c>
      <c r="M28" s="4" t="s">
        <v>30</v>
      </c>
    </row>
    <row r="29" spans="1:13">
      <c r="A29" s="4">
        <v>10074</v>
      </c>
      <c r="B29" s="4" t="s">
        <v>34</v>
      </c>
      <c r="C29" s="4">
        <v>85</v>
      </c>
      <c r="D29" s="4">
        <v>8</v>
      </c>
      <c r="E29" s="4" t="s">
        <v>28</v>
      </c>
      <c r="F29" s="4" t="s">
        <v>4</v>
      </c>
      <c r="G29" s="4" t="s">
        <v>37</v>
      </c>
      <c r="H29" s="4">
        <v>0</v>
      </c>
      <c r="I29" s="4">
        <v>11</v>
      </c>
      <c r="J29" s="4">
        <v>28</v>
      </c>
      <c r="K29" s="4" t="s">
        <v>14</v>
      </c>
      <c r="L29" s="4" t="s">
        <v>10</v>
      </c>
      <c r="M29" s="4" t="s">
        <v>30</v>
      </c>
    </row>
    <row r="30" spans="1:13">
      <c r="A30" s="4">
        <v>10076</v>
      </c>
      <c r="B30" s="4" t="s">
        <v>34</v>
      </c>
      <c r="C30" s="4">
        <v>68</v>
      </c>
      <c r="D30" s="4">
        <v>9</v>
      </c>
      <c r="E30" s="4" t="s">
        <v>28</v>
      </c>
      <c r="F30" s="4" t="s">
        <v>4</v>
      </c>
      <c r="G30" s="4" t="s">
        <v>31</v>
      </c>
      <c r="H30" s="4">
        <v>0</v>
      </c>
      <c r="I30" s="4">
        <v>14</v>
      </c>
      <c r="J30" s="4">
        <v>38</v>
      </c>
      <c r="K30" s="4" t="s">
        <v>14</v>
      </c>
      <c r="L30" s="4" t="s">
        <v>10</v>
      </c>
      <c r="M30" s="4" t="s">
        <v>30</v>
      </c>
    </row>
    <row r="31" spans="1:13">
      <c r="A31" s="4">
        <v>10083</v>
      </c>
      <c r="B31" s="4" t="s">
        <v>27</v>
      </c>
      <c r="C31" s="4">
        <v>82</v>
      </c>
      <c r="D31" s="4">
        <v>17</v>
      </c>
      <c r="E31" s="4" t="s">
        <v>28</v>
      </c>
      <c r="F31" s="4" t="s">
        <v>4</v>
      </c>
      <c r="G31" s="4" t="s">
        <v>38</v>
      </c>
      <c r="H31" s="4">
        <v>0</v>
      </c>
      <c r="I31" s="4">
        <v>22</v>
      </c>
      <c r="J31" s="4">
        <v>48</v>
      </c>
      <c r="K31" s="4" t="s">
        <v>14</v>
      </c>
      <c r="L31" s="4" t="s">
        <v>10</v>
      </c>
      <c r="M31" s="4" t="s">
        <v>30</v>
      </c>
    </row>
    <row r="32" spans="1:13">
      <c r="A32" s="4">
        <v>10088</v>
      </c>
      <c r="B32" s="4" t="s">
        <v>34</v>
      </c>
      <c r="C32" s="4">
        <v>77</v>
      </c>
      <c r="D32" s="4">
        <v>7</v>
      </c>
      <c r="E32" s="4" t="s">
        <v>28</v>
      </c>
      <c r="F32" s="4" t="s">
        <v>4</v>
      </c>
      <c r="G32" s="4" t="s">
        <v>33</v>
      </c>
      <c r="H32" s="4">
        <v>1</v>
      </c>
      <c r="I32" s="4">
        <v>14</v>
      </c>
      <c r="J32" s="4">
        <v>45</v>
      </c>
      <c r="K32" s="4" t="s">
        <v>15</v>
      </c>
      <c r="L32" s="4" t="s">
        <v>10</v>
      </c>
      <c r="M32" s="4" t="s">
        <v>32</v>
      </c>
    </row>
    <row r="33" spans="1:13">
      <c r="A33" s="4">
        <v>10088</v>
      </c>
      <c r="B33" s="4" t="s">
        <v>34</v>
      </c>
      <c r="C33" s="4">
        <v>77</v>
      </c>
      <c r="D33" s="4">
        <v>12</v>
      </c>
      <c r="E33" s="4" t="s">
        <v>28</v>
      </c>
      <c r="F33" s="4" t="s">
        <v>4</v>
      </c>
      <c r="G33" s="4" t="s">
        <v>33</v>
      </c>
      <c r="H33" s="4">
        <v>1</v>
      </c>
      <c r="I33" s="4">
        <v>19</v>
      </c>
      <c r="J33" s="4">
        <v>32</v>
      </c>
      <c r="K33" s="4" t="s">
        <v>14</v>
      </c>
      <c r="L33" s="4" t="s">
        <v>10</v>
      </c>
      <c r="M33" s="4" t="s">
        <v>32</v>
      </c>
    </row>
    <row r="34" spans="1:13">
      <c r="A34" s="4">
        <v>10088</v>
      </c>
      <c r="B34" s="4" t="s">
        <v>34</v>
      </c>
      <c r="C34" s="4">
        <v>77</v>
      </c>
      <c r="D34" s="4">
        <v>6</v>
      </c>
      <c r="E34" s="4" t="s">
        <v>28</v>
      </c>
      <c r="F34" s="4" t="s">
        <v>5</v>
      </c>
      <c r="G34" s="4" t="s">
        <v>33</v>
      </c>
      <c r="H34" s="4">
        <v>0</v>
      </c>
      <c r="I34" s="4">
        <v>11</v>
      </c>
      <c r="J34" s="4">
        <v>19</v>
      </c>
      <c r="K34" s="4" t="s">
        <v>15</v>
      </c>
      <c r="L34" s="4" t="s">
        <v>10</v>
      </c>
      <c r="M34" s="4" t="s">
        <v>30</v>
      </c>
    </row>
    <row r="35" spans="1:13">
      <c r="A35" s="4">
        <v>10089</v>
      </c>
      <c r="B35" s="4" t="s">
        <v>34</v>
      </c>
      <c r="C35" s="4">
        <v>86</v>
      </c>
      <c r="D35" s="4">
        <v>3</v>
      </c>
      <c r="E35" s="4" t="s">
        <v>28</v>
      </c>
      <c r="F35" s="4" t="s">
        <v>4</v>
      </c>
      <c r="G35" s="4" t="s">
        <v>31</v>
      </c>
      <c r="H35" s="4">
        <v>1</v>
      </c>
      <c r="I35" s="4">
        <v>4</v>
      </c>
      <c r="J35" s="4">
        <v>18</v>
      </c>
      <c r="K35" s="4" t="s">
        <v>16</v>
      </c>
      <c r="L35" s="4" t="s">
        <v>10</v>
      </c>
      <c r="M35" s="4" t="s">
        <v>32</v>
      </c>
    </row>
    <row r="36" spans="1:13">
      <c r="A36" s="4">
        <v>10090</v>
      </c>
      <c r="B36" s="4" t="s">
        <v>34</v>
      </c>
      <c r="C36" s="4">
        <v>27</v>
      </c>
      <c r="D36" s="4">
        <v>2</v>
      </c>
      <c r="E36" s="4" t="s">
        <v>28</v>
      </c>
      <c r="F36" s="4" t="s">
        <v>5</v>
      </c>
      <c r="G36" s="4" t="s">
        <v>39</v>
      </c>
      <c r="H36" s="4">
        <v>0</v>
      </c>
      <c r="I36" s="4">
        <v>6</v>
      </c>
      <c r="J36" s="4">
        <v>18</v>
      </c>
      <c r="K36" s="4" t="s">
        <v>16</v>
      </c>
      <c r="L36" s="4" t="s">
        <v>11</v>
      </c>
      <c r="M36" s="4" t="s">
        <v>30</v>
      </c>
    </row>
    <row r="37" spans="1:13">
      <c r="A37" s="4">
        <v>10093</v>
      </c>
      <c r="B37" s="4" t="s">
        <v>34</v>
      </c>
      <c r="C37" s="4">
        <v>87</v>
      </c>
      <c r="D37" s="4">
        <v>1</v>
      </c>
      <c r="E37" s="4" t="s">
        <v>28</v>
      </c>
      <c r="F37" s="4" t="s">
        <v>4</v>
      </c>
      <c r="G37" s="4" t="s">
        <v>31</v>
      </c>
      <c r="H37" s="4">
        <v>0</v>
      </c>
      <c r="I37" s="4">
        <v>10</v>
      </c>
      <c r="J37" s="4">
        <v>24</v>
      </c>
      <c r="K37" s="4" t="s">
        <v>16</v>
      </c>
      <c r="L37" s="4" t="s">
        <v>10</v>
      </c>
      <c r="M37" s="4" t="s">
        <v>30</v>
      </c>
    </row>
    <row r="38" spans="1:13">
      <c r="A38" s="4">
        <v>10094</v>
      </c>
      <c r="B38" s="4" t="s">
        <v>34</v>
      </c>
      <c r="C38" s="4">
        <v>300</v>
      </c>
      <c r="D38" s="4">
        <v>10</v>
      </c>
      <c r="E38" s="4" t="s">
        <v>28</v>
      </c>
      <c r="F38" s="4" t="s">
        <v>4</v>
      </c>
      <c r="G38" s="4" t="s">
        <v>33</v>
      </c>
      <c r="H38" s="4">
        <v>0</v>
      </c>
      <c r="I38" s="4">
        <v>12</v>
      </c>
      <c r="J38" s="4">
        <v>42</v>
      </c>
      <c r="K38" s="4" t="s">
        <v>14</v>
      </c>
      <c r="L38" s="4" t="s">
        <v>10</v>
      </c>
      <c r="M38" s="4" t="s">
        <v>30</v>
      </c>
    </row>
    <row r="39" spans="1:13">
      <c r="A39" s="4">
        <v>10094</v>
      </c>
      <c r="B39" s="4" t="s">
        <v>34</v>
      </c>
      <c r="C39" s="4">
        <v>300</v>
      </c>
      <c r="D39" s="4">
        <v>5</v>
      </c>
      <c r="E39" s="4" t="s">
        <v>28</v>
      </c>
      <c r="F39" s="4" t="s">
        <v>4</v>
      </c>
      <c r="G39" s="4" t="s">
        <v>31</v>
      </c>
      <c r="H39" s="4">
        <v>0</v>
      </c>
      <c r="I39" s="4">
        <v>8</v>
      </c>
      <c r="J39" s="4">
        <v>42</v>
      </c>
      <c r="K39" s="4" t="s">
        <v>15</v>
      </c>
      <c r="L39" s="4" t="s">
        <v>10</v>
      </c>
      <c r="M39" s="4" t="s">
        <v>30</v>
      </c>
    </row>
    <row r="40" spans="1:13">
      <c r="A40" s="4">
        <v>10098</v>
      </c>
      <c r="B40" s="4" t="s">
        <v>27</v>
      </c>
      <c r="C40" s="4">
        <v>19</v>
      </c>
      <c r="D40" s="4">
        <v>1</v>
      </c>
      <c r="E40" s="4" t="s">
        <v>28</v>
      </c>
      <c r="F40" s="4" t="s">
        <v>5</v>
      </c>
      <c r="G40" s="4" t="s">
        <v>31</v>
      </c>
      <c r="H40" s="4">
        <v>0</v>
      </c>
      <c r="I40" s="4">
        <v>3</v>
      </c>
      <c r="J40" s="4">
        <v>26</v>
      </c>
      <c r="K40" s="4" t="s">
        <v>16</v>
      </c>
      <c r="L40" s="4" t="s">
        <v>11</v>
      </c>
      <c r="M40" s="4" t="s">
        <v>30</v>
      </c>
    </row>
    <row r="41" spans="1:13">
      <c r="A41" s="4">
        <v>10101</v>
      </c>
      <c r="B41" s="4" t="s">
        <v>34</v>
      </c>
      <c r="C41" s="4">
        <v>72</v>
      </c>
      <c r="D41" s="4">
        <v>2</v>
      </c>
      <c r="E41" s="4" t="s">
        <v>28</v>
      </c>
      <c r="F41" s="4" t="s">
        <v>2</v>
      </c>
      <c r="G41" s="4" t="s">
        <v>31</v>
      </c>
      <c r="H41" s="4">
        <v>0</v>
      </c>
      <c r="I41" s="4">
        <v>7</v>
      </c>
      <c r="J41" s="4">
        <v>16</v>
      </c>
      <c r="K41" s="4" t="s">
        <v>16</v>
      </c>
      <c r="L41" s="4" t="s">
        <v>10</v>
      </c>
      <c r="M41" s="4" t="s">
        <v>30</v>
      </c>
    </row>
    <row r="42" spans="1:13">
      <c r="A42" s="4">
        <v>10102</v>
      </c>
      <c r="B42" s="4" t="s">
        <v>34</v>
      </c>
      <c r="C42" s="4">
        <v>70</v>
      </c>
      <c r="D42" s="4">
        <v>13</v>
      </c>
      <c r="E42" s="4" t="s">
        <v>28</v>
      </c>
      <c r="F42" s="4" t="s">
        <v>4</v>
      </c>
      <c r="G42" s="4" t="s">
        <v>31</v>
      </c>
      <c r="H42" s="4">
        <v>0</v>
      </c>
      <c r="I42" s="4">
        <v>13</v>
      </c>
      <c r="J42" s="4">
        <v>45</v>
      </c>
      <c r="K42" s="4" t="s">
        <v>14</v>
      </c>
      <c r="L42" s="4" t="s">
        <v>10</v>
      </c>
      <c r="M42" s="4" t="s">
        <v>30</v>
      </c>
    </row>
    <row r="43" spans="1:13">
      <c r="A43" s="4">
        <v>10104</v>
      </c>
      <c r="B43" s="4" t="s">
        <v>27</v>
      </c>
      <c r="C43" s="4">
        <v>70</v>
      </c>
      <c r="D43" s="4">
        <v>7</v>
      </c>
      <c r="E43" s="4" t="s">
        <v>28</v>
      </c>
      <c r="F43" s="4" t="s">
        <v>4</v>
      </c>
      <c r="G43" s="4" t="s">
        <v>33</v>
      </c>
      <c r="H43" s="4">
        <v>0</v>
      </c>
      <c r="I43" s="4">
        <v>9</v>
      </c>
      <c r="J43" s="4">
        <v>39</v>
      </c>
      <c r="K43" s="4" t="s">
        <v>15</v>
      </c>
      <c r="L43" s="4" t="s">
        <v>10</v>
      </c>
      <c r="M43" s="4" t="s">
        <v>30</v>
      </c>
    </row>
    <row r="44" spans="1:13">
      <c r="A44" s="4">
        <v>10106</v>
      </c>
      <c r="B44" s="4" t="s">
        <v>34</v>
      </c>
      <c r="C44" s="4">
        <v>63</v>
      </c>
      <c r="D44" s="4">
        <v>5</v>
      </c>
      <c r="E44" s="4" t="s">
        <v>28</v>
      </c>
      <c r="F44" s="4" t="s">
        <v>5</v>
      </c>
      <c r="G44" s="4" t="s">
        <v>40</v>
      </c>
      <c r="H44" s="4">
        <v>0</v>
      </c>
      <c r="I44" s="4">
        <v>5</v>
      </c>
      <c r="J44" s="4">
        <v>22</v>
      </c>
      <c r="K44" s="4" t="s">
        <v>15</v>
      </c>
      <c r="L44" s="4" t="s">
        <v>10</v>
      </c>
      <c r="M44" s="4" t="s">
        <v>30</v>
      </c>
    </row>
    <row r="45" spans="1:13">
      <c r="A45" s="4">
        <v>10111</v>
      </c>
      <c r="B45" s="4" t="s">
        <v>27</v>
      </c>
      <c r="C45" s="4">
        <v>82</v>
      </c>
      <c r="D45" s="4">
        <v>18</v>
      </c>
      <c r="E45" s="4" t="s">
        <v>28</v>
      </c>
      <c r="F45" s="4" t="s">
        <v>4</v>
      </c>
      <c r="G45" s="4" t="s">
        <v>31</v>
      </c>
      <c r="H45" s="4">
        <v>1</v>
      </c>
      <c r="I45" s="4">
        <v>9</v>
      </c>
      <c r="J45" s="4">
        <v>42</v>
      </c>
      <c r="K45" s="4" t="s">
        <v>14</v>
      </c>
      <c r="L45" s="4" t="s">
        <v>10</v>
      </c>
      <c r="M45" s="4" t="s">
        <v>32</v>
      </c>
    </row>
    <row r="46" spans="1:13">
      <c r="A46" s="4">
        <v>10112</v>
      </c>
      <c r="B46" s="4" t="s">
        <v>27</v>
      </c>
      <c r="C46" s="4">
        <v>78</v>
      </c>
      <c r="D46" s="4">
        <v>6</v>
      </c>
      <c r="E46" s="4" t="s">
        <v>41</v>
      </c>
      <c r="F46" s="4" t="s">
        <v>4</v>
      </c>
      <c r="G46" s="4" t="s">
        <v>31</v>
      </c>
      <c r="H46" s="4">
        <v>0</v>
      </c>
      <c r="I46" s="4">
        <v>9</v>
      </c>
      <c r="J46" s="4">
        <v>21</v>
      </c>
      <c r="K46" s="4" t="s">
        <v>15</v>
      </c>
      <c r="L46" s="4" t="s">
        <v>10</v>
      </c>
      <c r="M46" s="4" t="s">
        <v>30</v>
      </c>
    </row>
    <row r="47" spans="1:13">
      <c r="A47" s="4">
        <v>10114</v>
      </c>
      <c r="B47" s="4" t="s">
        <v>27</v>
      </c>
      <c r="C47" s="4">
        <v>72</v>
      </c>
      <c r="D47" s="4">
        <v>7</v>
      </c>
      <c r="E47" s="4" t="s">
        <v>41</v>
      </c>
      <c r="F47" s="4" t="s">
        <v>5</v>
      </c>
      <c r="G47" s="4" t="s">
        <v>29</v>
      </c>
      <c r="H47" s="4">
        <v>0</v>
      </c>
      <c r="I47" s="4">
        <v>8</v>
      </c>
      <c r="J47" s="4">
        <v>0</v>
      </c>
      <c r="K47" s="4" t="s">
        <v>15</v>
      </c>
      <c r="L47" s="4" t="s">
        <v>10</v>
      </c>
      <c r="M47" s="4" t="s">
        <v>30</v>
      </c>
    </row>
    <row r="48" spans="1:13">
      <c r="A48" s="4">
        <v>10117</v>
      </c>
      <c r="B48" s="4" t="s">
        <v>27</v>
      </c>
      <c r="C48" s="4">
        <v>66</v>
      </c>
      <c r="D48" s="4">
        <v>6</v>
      </c>
      <c r="E48" s="4" t="s">
        <v>28</v>
      </c>
      <c r="F48" s="4" t="s">
        <v>5</v>
      </c>
      <c r="G48" s="4" t="s">
        <v>37</v>
      </c>
      <c r="H48" s="4">
        <v>0</v>
      </c>
      <c r="I48" s="4">
        <v>5</v>
      </c>
      <c r="J48" s="4">
        <v>0</v>
      </c>
      <c r="K48" s="4" t="s">
        <v>15</v>
      </c>
      <c r="L48" s="4" t="s">
        <v>10</v>
      </c>
      <c r="M48" s="4" t="s">
        <v>30</v>
      </c>
    </row>
    <row r="49" spans="1:13">
      <c r="A49" s="4">
        <v>10117</v>
      </c>
      <c r="B49" s="4" t="s">
        <v>27</v>
      </c>
      <c r="C49" s="4">
        <v>66</v>
      </c>
      <c r="D49" s="4">
        <v>9</v>
      </c>
      <c r="E49" s="4" t="s">
        <v>28</v>
      </c>
      <c r="F49" s="4" t="s">
        <v>5</v>
      </c>
      <c r="G49" s="4" t="s">
        <v>31</v>
      </c>
      <c r="H49" s="4">
        <v>0</v>
      </c>
      <c r="I49" s="4">
        <v>8</v>
      </c>
      <c r="J49" s="4">
        <v>25</v>
      </c>
      <c r="K49" s="4" t="s">
        <v>14</v>
      </c>
      <c r="L49" s="4" t="s">
        <v>10</v>
      </c>
      <c r="M49" s="4" t="s">
        <v>30</v>
      </c>
    </row>
    <row r="50" spans="1:13">
      <c r="A50" s="4">
        <v>10119</v>
      </c>
      <c r="B50" s="4" t="s">
        <v>34</v>
      </c>
      <c r="C50" s="4">
        <v>81</v>
      </c>
      <c r="D50" s="4">
        <v>14</v>
      </c>
      <c r="E50" s="4" t="s">
        <v>28</v>
      </c>
      <c r="F50" s="4" t="s">
        <v>4</v>
      </c>
      <c r="G50" s="4" t="s">
        <v>35</v>
      </c>
      <c r="H50" s="4">
        <v>1</v>
      </c>
      <c r="I50" s="4">
        <v>10</v>
      </c>
      <c r="J50" s="4">
        <v>33</v>
      </c>
      <c r="K50" s="4" t="s">
        <v>14</v>
      </c>
      <c r="L50" s="4" t="s">
        <v>10</v>
      </c>
      <c r="M50" s="4" t="s">
        <v>32</v>
      </c>
    </row>
    <row r="51" spans="1:13">
      <c r="A51" s="4">
        <v>10119</v>
      </c>
      <c r="B51" s="4" t="s">
        <v>34</v>
      </c>
      <c r="C51" s="4">
        <v>81</v>
      </c>
      <c r="D51" s="4">
        <v>5</v>
      </c>
      <c r="E51" s="4" t="s">
        <v>28</v>
      </c>
      <c r="F51" s="4" t="s">
        <v>4</v>
      </c>
      <c r="G51" s="4" t="s">
        <v>35</v>
      </c>
      <c r="H51" s="4">
        <v>0</v>
      </c>
      <c r="I51" s="4">
        <v>5</v>
      </c>
      <c r="J51" s="4">
        <v>17</v>
      </c>
      <c r="K51" s="4" t="s">
        <v>15</v>
      </c>
      <c r="L51" s="4" t="s">
        <v>10</v>
      </c>
      <c r="M51" s="4" t="s">
        <v>30</v>
      </c>
    </row>
    <row r="52" spans="1:13">
      <c r="A52" s="4">
        <v>10120</v>
      </c>
      <c r="B52" s="4" t="s">
        <v>34</v>
      </c>
      <c r="C52" s="4">
        <v>27</v>
      </c>
      <c r="D52" s="4">
        <v>3</v>
      </c>
      <c r="E52" s="4" t="s">
        <v>28</v>
      </c>
      <c r="F52" s="4" t="s">
        <v>3</v>
      </c>
      <c r="G52" s="4" t="s">
        <v>31</v>
      </c>
      <c r="H52" s="4">
        <v>1</v>
      </c>
      <c r="I52" s="4">
        <v>10</v>
      </c>
      <c r="J52" s="4">
        <v>41</v>
      </c>
      <c r="K52" s="4" t="s">
        <v>16</v>
      </c>
      <c r="L52" s="4" t="s">
        <v>11</v>
      </c>
      <c r="M52" s="4" t="s">
        <v>32</v>
      </c>
    </row>
    <row r="53" spans="1:13">
      <c r="A53" s="4">
        <v>10124</v>
      </c>
      <c r="B53" s="4" t="s">
        <v>27</v>
      </c>
      <c r="C53" s="4">
        <v>83</v>
      </c>
      <c r="D53" s="4">
        <v>10</v>
      </c>
      <c r="E53" s="4" t="s">
        <v>28</v>
      </c>
      <c r="F53" s="4" t="s">
        <v>4</v>
      </c>
      <c r="G53" s="4" t="s">
        <v>33</v>
      </c>
      <c r="H53" s="4">
        <v>0</v>
      </c>
      <c r="I53" s="4">
        <v>15</v>
      </c>
      <c r="J53" s="4">
        <v>45</v>
      </c>
      <c r="K53" s="4" t="s">
        <v>14</v>
      </c>
      <c r="L53" s="4" t="s">
        <v>10</v>
      </c>
      <c r="M53" s="4" t="s">
        <v>30</v>
      </c>
    </row>
    <row r="54" spans="1:13">
      <c r="A54" s="4">
        <v>10124</v>
      </c>
      <c r="B54" s="4" t="s">
        <v>27</v>
      </c>
      <c r="C54" s="4">
        <v>83</v>
      </c>
      <c r="D54" s="4">
        <v>29</v>
      </c>
      <c r="E54" s="4" t="s">
        <v>28</v>
      </c>
      <c r="F54" s="4" t="s">
        <v>4</v>
      </c>
      <c r="G54" s="4" t="s">
        <v>31</v>
      </c>
      <c r="H54" s="4">
        <v>1</v>
      </c>
      <c r="I54" s="4">
        <v>16</v>
      </c>
      <c r="J54" s="4">
        <v>70</v>
      </c>
      <c r="K54" s="4" t="s">
        <v>14</v>
      </c>
      <c r="L54" s="4" t="s">
        <v>10</v>
      </c>
      <c r="M54" s="4" t="s">
        <v>32</v>
      </c>
    </row>
    <row r="55" spans="1:13">
      <c r="A55" s="4">
        <v>10126</v>
      </c>
      <c r="B55" s="4" t="s">
        <v>27</v>
      </c>
      <c r="C55" s="4">
        <v>44</v>
      </c>
      <c r="D55" s="4">
        <v>35</v>
      </c>
      <c r="E55" s="4" t="s">
        <v>28</v>
      </c>
      <c r="F55" s="4" t="s">
        <v>5</v>
      </c>
      <c r="G55" s="4" t="s">
        <v>31</v>
      </c>
      <c r="H55" s="4">
        <v>1</v>
      </c>
      <c r="I55" s="4">
        <v>14</v>
      </c>
      <c r="J55" s="4">
        <v>74</v>
      </c>
      <c r="K55" s="4" t="s">
        <v>14</v>
      </c>
      <c r="L55" s="4" t="s">
        <v>9</v>
      </c>
      <c r="M55" s="4" t="s">
        <v>32</v>
      </c>
    </row>
    <row r="56" spans="1:13">
      <c r="A56" s="4">
        <v>10127</v>
      </c>
      <c r="B56" s="4" t="s">
        <v>27</v>
      </c>
      <c r="C56" s="4">
        <v>17</v>
      </c>
      <c r="D56" s="4">
        <v>22</v>
      </c>
      <c r="E56" s="4" t="s">
        <v>28</v>
      </c>
      <c r="F56" s="4" t="s">
        <v>5</v>
      </c>
      <c r="G56" s="4" t="s">
        <v>35</v>
      </c>
      <c r="H56" s="4">
        <v>1</v>
      </c>
      <c r="I56" s="4">
        <v>14</v>
      </c>
      <c r="J56" s="4">
        <v>54</v>
      </c>
      <c r="K56" s="4" t="s">
        <v>14</v>
      </c>
      <c r="L56" s="4" t="s">
        <v>11</v>
      </c>
      <c r="M56" s="4" t="s">
        <v>32</v>
      </c>
    </row>
    <row r="57" spans="1:13">
      <c r="A57" s="4">
        <v>10130</v>
      </c>
      <c r="B57" s="4" t="s">
        <v>34</v>
      </c>
      <c r="C57" s="4">
        <v>51</v>
      </c>
      <c r="D57" s="4">
        <v>20</v>
      </c>
      <c r="E57" s="4" t="s">
        <v>28</v>
      </c>
      <c r="F57" s="4" t="s">
        <v>5</v>
      </c>
      <c r="G57" s="4" t="s">
        <v>29</v>
      </c>
      <c r="H57" s="4">
        <v>1</v>
      </c>
      <c r="I57" s="4">
        <v>8</v>
      </c>
      <c r="J57" s="4">
        <v>0</v>
      </c>
      <c r="K57" s="4" t="s">
        <v>14</v>
      </c>
      <c r="L57" s="4" t="s">
        <v>10</v>
      </c>
      <c r="M57" s="4" t="s">
        <v>32</v>
      </c>
    </row>
    <row r="58" spans="1:13">
      <c r="A58" s="4">
        <v>10132</v>
      </c>
      <c r="B58" s="4" t="s">
        <v>27</v>
      </c>
      <c r="C58" s="4">
        <v>65</v>
      </c>
      <c r="D58" s="4">
        <v>25</v>
      </c>
      <c r="E58" s="4" t="s">
        <v>28</v>
      </c>
      <c r="F58" s="4" t="s">
        <v>4</v>
      </c>
      <c r="G58" s="4" t="s">
        <v>29</v>
      </c>
      <c r="H58" s="4">
        <v>0</v>
      </c>
      <c r="I58" s="4">
        <v>8</v>
      </c>
      <c r="J58" s="4">
        <v>45</v>
      </c>
      <c r="K58" s="4" t="s">
        <v>14</v>
      </c>
      <c r="L58" s="4" t="s">
        <v>10</v>
      </c>
      <c r="M58" s="4" t="s">
        <v>30</v>
      </c>
    </row>
    <row r="59" spans="1:13">
      <c r="A59" s="4">
        <v>40124</v>
      </c>
      <c r="B59" s="4" t="s">
        <v>27</v>
      </c>
      <c r="C59" s="4">
        <v>66</v>
      </c>
      <c r="D59" s="4">
        <v>6</v>
      </c>
      <c r="E59" s="4" t="s">
        <v>28</v>
      </c>
      <c r="F59" s="4" t="s">
        <v>4</v>
      </c>
      <c r="G59" s="4" t="s">
        <v>33</v>
      </c>
      <c r="H59" s="4">
        <v>0</v>
      </c>
      <c r="I59" s="4">
        <v>7</v>
      </c>
      <c r="J59" s="4">
        <v>33</v>
      </c>
      <c r="K59" s="4" t="s">
        <v>15</v>
      </c>
      <c r="L59" s="4" t="s">
        <v>10</v>
      </c>
      <c r="M59" s="4" t="s">
        <v>30</v>
      </c>
    </row>
    <row r="60" spans="1:13">
      <c r="A60" s="4">
        <v>40124</v>
      </c>
      <c r="B60" s="4" t="s">
        <v>27</v>
      </c>
      <c r="C60" s="4">
        <v>67</v>
      </c>
      <c r="D60" s="4">
        <v>6</v>
      </c>
      <c r="E60" s="4" t="s">
        <v>28</v>
      </c>
      <c r="F60" s="4" t="s">
        <v>4</v>
      </c>
      <c r="G60" s="4" t="s">
        <v>33</v>
      </c>
      <c r="H60" s="4">
        <v>0</v>
      </c>
      <c r="I60" s="4">
        <v>7</v>
      </c>
      <c r="J60" s="4">
        <v>37</v>
      </c>
      <c r="K60" s="4" t="s">
        <v>15</v>
      </c>
      <c r="L60" s="4" t="s">
        <v>10</v>
      </c>
      <c r="M60" s="4" t="s">
        <v>30</v>
      </c>
    </row>
    <row r="61" spans="1:13">
      <c r="A61" s="4">
        <v>40177</v>
      </c>
      <c r="B61" s="4" t="s">
        <v>34</v>
      </c>
      <c r="C61" s="4">
        <v>86</v>
      </c>
      <c r="D61" s="4">
        <v>6</v>
      </c>
      <c r="E61" s="4" t="s">
        <v>28</v>
      </c>
      <c r="F61" s="4" t="s">
        <v>4</v>
      </c>
      <c r="G61" s="4" t="s">
        <v>31</v>
      </c>
      <c r="H61" s="4">
        <v>0</v>
      </c>
      <c r="I61" s="4">
        <v>18</v>
      </c>
      <c r="J61" s="4">
        <v>42</v>
      </c>
      <c r="K61" s="4" t="s">
        <v>15</v>
      </c>
      <c r="L61" s="4" t="s">
        <v>10</v>
      </c>
      <c r="M61" s="4" t="s">
        <v>30</v>
      </c>
    </row>
    <row r="62" spans="1:13">
      <c r="A62" s="4">
        <v>40204</v>
      </c>
      <c r="B62" s="4" t="s">
        <v>34</v>
      </c>
      <c r="C62" s="4">
        <v>76</v>
      </c>
      <c r="D62" s="4">
        <v>8</v>
      </c>
      <c r="E62" s="4" t="s">
        <v>28</v>
      </c>
      <c r="F62" s="4" t="s">
        <v>4</v>
      </c>
      <c r="G62" s="4" t="s">
        <v>35</v>
      </c>
      <c r="H62" s="4">
        <v>0</v>
      </c>
      <c r="I62" s="4">
        <v>13</v>
      </c>
      <c r="J62" s="4">
        <v>23</v>
      </c>
      <c r="K62" s="4" t="s">
        <v>14</v>
      </c>
      <c r="L62" s="4" t="s">
        <v>10</v>
      </c>
      <c r="M62" s="4" t="s">
        <v>30</v>
      </c>
    </row>
    <row r="63" spans="1:13">
      <c r="A63" s="4">
        <v>40277</v>
      </c>
      <c r="B63" s="4" t="s">
        <v>27</v>
      </c>
      <c r="C63" s="4">
        <v>80</v>
      </c>
      <c r="D63" s="4">
        <v>4</v>
      </c>
      <c r="E63" s="4" t="s">
        <v>28</v>
      </c>
      <c r="F63" s="4" t="s">
        <v>4</v>
      </c>
      <c r="G63" s="4" t="s">
        <v>37</v>
      </c>
      <c r="H63" s="4">
        <v>0</v>
      </c>
      <c r="I63" s="4">
        <v>8</v>
      </c>
      <c r="J63" s="4">
        <v>20</v>
      </c>
      <c r="K63" s="4" t="s">
        <v>15</v>
      </c>
      <c r="L63" s="4" t="s">
        <v>10</v>
      </c>
      <c r="M63" s="4" t="s">
        <v>30</v>
      </c>
    </row>
    <row r="64" spans="1:13">
      <c r="A64" s="4">
        <v>40286</v>
      </c>
      <c r="B64" s="4" t="s">
        <v>27</v>
      </c>
      <c r="C64" s="4">
        <v>83</v>
      </c>
      <c r="D64" s="4">
        <v>5</v>
      </c>
      <c r="E64" s="4" t="s">
        <v>36</v>
      </c>
      <c r="F64" s="4" t="s">
        <v>4</v>
      </c>
      <c r="G64" s="4" t="s">
        <v>35</v>
      </c>
      <c r="H64" s="4">
        <v>1</v>
      </c>
      <c r="I64" s="4">
        <v>10</v>
      </c>
      <c r="J64" s="4">
        <v>37</v>
      </c>
      <c r="K64" s="4" t="s">
        <v>15</v>
      </c>
      <c r="L64" s="4" t="s">
        <v>10</v>
      </c>
      <c r="M64" s="4" t="s">
        <v>32</v>
      </c>
    </row>
    <row r="65" spans="1:13">
      <c r="A65" s="4">
        <v>40304</v>
      </c>
      <c r="B65" s="4" t="s">
        <v>34</v>
      </c>
      <c r="C65" s="4">
        <v>76</v>
      </c>
      <c r="D65" s="4">
        <v>10</v>
      </c>
      <c r="E65" s="4" t="s">
        <v>28</v>
      </c>
      <c r="F65" s="4" t="s">
        <v>4</v>
      </c>
      <c r="G65" s="4" t="s">
        <v>33</v>
      </c>
      <c r="H65" s="4">
        <v>1</v>
      </c>
      <c r="I65" s="4">
        <v>16</v>
      </c>
      <c r="J65" s="4">
        <v>34</v>
      </c>
      <c r="K65" s="4" t="s">
        <v>14</v>
      </c>
      <c r="L65" s="4" t="s">
        <v>10</v>
      </c>
      <c r="M65" s="4" t="s">
        <v>32</v>
      </c>
    </row>
    <row r="66" spans="1:13">
      <c r="A66" s="4">
        <v>40310</v>
      </c>
      <c r="B66" s="4" t="s">
        <v>34</v>
      </c>
      <c r="C66" s="4">
        <v>40</v>
      </c>
      <c r="D66" s="4">
        <v>124</v>
      </c>
      <c r="E66" s="4" t="s">
        <v>28</v>
      </c>
      <c r="F66" s="4" t="s">
        <v>5</v>
      </c>
      <c r="G66" s="4" t="s">
        <v>35</v>
      </c>
      <c r="H66" s="4">
        <v>0</v>
      </c>
      <c r="I66" s="4">
        <v>33</v>
      </c>
      <c r="J66" s="4">
        <v>142</v>
      </c>
      <c r="K66" s="4" t="s">
        <v>14</v>
      </c>
      <c r="L66" s="4" t="s">
        <v>9</v>
      </c>
      <c r="M66" s="4" t="s">
        <v>30</v>
      </c>
    </row>
    <row r="67" spans="1:13">
      <c r="A67" s="4">
        <v>40310</v>
      </c>
      <c r="B67" s="4" t="s">
        <v>34</v>
      </c>
      <c r="C67" s="4">
        <v>41</v>
      </c>
      <c r="D67" s="4">
        <v>7</v>
      </c>
      <c r="E67" s="4" t="s">
        <v>28</v>
      </c>
      <c r="F67" s="4" t="s">
        <v>3</v>
      </c>
      <c r="G67" s="4" t="s">
        <v>31</v>
      </c>
      <c r="H67" s="4">
        <v>0</v>
      </c>
      <c r="I67" s="4">
        <v>13</v>
      </c>
      <c r="J67" s="4">
        <v>39</v>
      </c>
      <c r="K67" s="4" t="s">
        <v>15</v>
      </c>
      <c r="L67" s="4" t="s">
        <v>9</v>
      </c>
      <c r="M67" s="4" t="s">
        <v>30</v>
      </c>
    </row>
    <row r="68" spans="1:13">
      <c r="A68" s="4">
        <v>40456</v>
      </c>
      <c r="B68" s="4" t="s">
        <v>27</v>
      </c>
      <c r="C68" s="4">
        <v>87</v>
      </c>
      <c r="D68" s="4">
        <v>3</v>
      </c>
      <c r="E68" s="4" t="s">
        <v>28</v>
      </c>
      <c r="F68" s="4" t="s">
        <v>4</v>
      </c>
      <c r="G68" s="4" t="s">
        <v>37</v>
      </c>
      <c r="H68" s="4">
        <v>0</v>
      </c>
      <c r="I68" s="4">
        <v>7</v>
      </c>
      <c r="J68" s="4">
        <v>19</v>
      </c>
      <c r="K68" s="4" t="s">
        <v>16</v>
      </c>
      <c r="L68" s="4" t="s">
        <v>10</v>
      </c>
      <c r="M68" s="4" t="s">
        <v>30</v>
      </c>
    </row>
    <row r="69" spans="1:13">
      <c r="A69" s="4">
        <v>40503</v>
      </c>
      <c r="B69" s="4" t="s">
        <v>27</v>
      </c>
      <c r="C69" s="4">
        <v>88</v>
      </c>
      <c r="D69" s="4">
        <v>1</v>
      </c>
      <c r="E69" s="4" t="s">
        <v>28</v>
      </c>
      <c r="F69" s="4" t="s">
        <v>4</v>
      </c>
      <c r="G69" s="4" t="s">
        <v>31</v>
      </c>
      <c r="H69" s="4">
        <v>0</v>
      </c>
      <c r="I69" s="4">
        <v>14</v>
      </c>
      <c r="J69" s="4">
        <v>17</v>
      </c>
      <c r="K69" s="4" t="s">
        <v>16</v>
      </c>
      <c r="L69" s="4" t="s">
        <v>10</v>
      </c>
      <c r="M69" s="4" t="s">
        <v>30</v>
      </c>
    </row>
    <row r="70" spans="1:13">
      <c r="A70" s="4">
        <v>40595</v>
      </c>
      <c r="B70" s="4" t="s">
        <v>27</v>
      </c>
      <c r="C70" s="4">
        <v>76</v>
      </c>
      <c r="D70" s="4">
        <v>9</v>
      </c>
      <c r="E70" s="4" t="s">
        <v>28</v>
      </c>
      <c r="F70" s="4" t="s">
        <v>4</v>
      </c>
      <c r="G70" s="4" t="s">
        <v>42</v>
      </c>
      <c r="H70" s="4">
        <v>1</v>
      </c>
      <c r="I70" s="4">
        <v>18</v>
      </c>
      <c r="J70" s="4">
        <v>50</v>
      </c>
      <c r="K70" s="4" t="s">
        <v>14</v>
      </c>
      <c r="L70" s="4" t="s">
        <v>10</v>
      </c>
      <c r="M70" s="4" t="s">
        <v>32</v>
      </c>
    </row>
    <row r="71" spans="1:13">
      <c r="A71" s="4">
        <v>40601</v>
      </c>
      <c r="B71" s="4" t="s">
        <v>27</v>
      </c>
      <c r="C71" s="4">
        <v>72</v>
      </c>
      <c r="D71" s="4">
        <v>6</v>
      </c>
      <c r="E71" s="4" t="s">
        <v>28</v>
      </c>
      <c r="F71" s="4" t="s">
        <v>5</v>
      </c>
      <c r="G71" s="4" t="s">
        <v>33</v>
      </c>
      <c r="H71" s="4">
        <v>1</v>
      </c>
      <c r="I71" s="4">
        <v>11</v>
      </c>
      <c r="J71" s="4">
        <v>36</v>
      </c>
      <c r="K71" s="4" t="s">
        <v>15</v>
      </c>
      <c r="L71" s="4" t="s">
        <v>10</v>
      </c>
      <c r="M71" s="4" t="s">
        <v>32</v>
      </c>
    </row>
    <row r="72" spans="1:13">
      <c r="A72" s="4">
        <v>40612</v>
      </c>
      <c r="B72" s="4" t="s">
        <v>27</v>
      </c>
      <c r="C72" s="4">
        <v>86</v>
      </c>
      <c r="D72" s="4">
        <v>5</v>
      </c>
      <c r="E72" s="4" t="s">
        <v>28</v>
      </c>
      <c r="F72" s="4" t="s">
        <v>4</v>
      </c>
      <c r="G72" s="4" t="s">
        <v>33</v>
      </c>
      <c r="H72" s="4">
        <v>1</v>
      </c>
      <c r="I72" s="4">
        <v>10</v>
      </c>
      <c r="J72" s="4">
        <v>40</v>
      </c>
      <c r="K72" s="4" t="s">
        <v>15</v>
      </c>
      <c r="L72" s="4" t="s">
        <v>10</v>
      </c>
      <c r="M72" s="4" t="s">
        <v>32</v>
      </c>
    </row>
    <row r="73" spans="1:13">
      <c r="A73" s="4">
        <v>40655</v>
      </c>
      <c r="B73" s="4" t="s">
        <v>27</v>
      </c>
      <c r="C73" s="4">
        <v>300</v>
      </c>
      <c r="D73" s="4">
        <v>10</v>
      </c>
      <c r="E73" s="4" t="s">
        <v>28</v>
      </c>
      <c r="F73" s="4" t="s">
        <v>4</v>
      </c>
      <c r="G73" s="4" t="s">
        <v>33</v>
      </c>
      <c r="H73" s="4">
        <v>1</v>
      </c>
      <c r="I73" s="4">
        <v>17</v>
      </c>
      <c r="J73" s="4">
        <v>35</v>
      </c>
      <c r="K73" s="4" t="s">
        <v>14</v>
      </c>
      <c r="L73" s="4" t="s">
        <v>10</v>
      </c>
      <c r="M73" s="4" t="s">
        <v>32</v>
      </c>
    </row>
    <row r="74" spans="1:13">
      <c r="A74" s="4">
        <v>40687</v>
      </c>
      <c r="B74" s="4" t="s">
        <v>27</v>
      </c>
      <c r="C74" s="4">
        <v>81</v>
      </c>
      <c r="D74" s="4">
        <v>3</v>
      </c>
      <c r="E74" s="4" t="s">
        <v>28</v>
      </c>
      <c r="F74" s="4" t="s">
        <v>4</v>
      </c>
      <c r="G74" s="4" t="s">
        <v>31</v>
      </c>
      <c r="H74" s="4">
        <v>0</v>
      </c>
      <c r="I74" s="4">
        <v>13</v>
      </c>
      <c r="J74" s="4">
        <v>18</v>
      </c>
      <c r="K74" s="4" t="s">
        <v>16</v>
      </c>
      <c r="L74" s="4" t="s">
        <v>10</v>
      </c>
      <c r="M74" s="4" t="s">
        <v>30</v>
      </c>
    </row>
    <row r="75" spans="1:13">
      <c r="A75" s="4">
        <v>41795</v>
      </c>
      <c r="B75" s="4" t="s">
        <v>34</v>
      </c>
      <c r="C75" s="4">
        <v>48</v>
      </c>
      <c r="D75" s="4">
        <v>13</v>
      </c>
      <c r="E75" s="4" t="s">
        <v>28</v>
      </c>
      <c r="F75" s="4" t="s">
        <v>4</v>
      </c>
      <c r="G75" s="4" t="s">
        <v>33</v>
      </c>
      <c r="H75" s="4">
        <v>1</v>
      </c>
      <c r="I75" s="4">
        <v>17</v>
      </c>
      <c r="J75" s="4">
        <v>50</v>
      </c>
      <c r="K75" s="4" t="s">
        <v>14</v>
      </c>
      <c r="L75" s="4" t="s">
        <v>9</v>
      </c>
      <c r="M75" s="4" t="s">
        <v>32</v>
      </c>
    </row>
    <row r="76" spans="1:13">
      <c r="A76" s="4">
        <v>41795</v>
      </c>
      <c r="B76" s="4" t="s">
        <v>34</v>
      </c>
      <c r="C76" s="4">
        <v>49</v>
      </c>
      <c r="D76" s="4">
        <v>3</v>
      </c>
      <c r="E76" s="4" t="s">
        <v>28</v>
      </c>
      <c r="F76" s="4" t="s">
        <v>4</v>
      </c>
      <c r="G76" s="4" t="s">
        <v>33</v>
      </c>
      <c r="H76" s="4">
        <v>1</v>
      </c>
      <c r="I76" s="4">
        <v>15</v>
      </c>
      <c r="J76" s="4">
        <v>32</v>
      </c>
      <c r="K76" s="4" t="s">
        <v>16</v>
      </c>
      <c r="L76" s="4" t="s">
        <v>9</v>
      </c>
      <c r="M76" s="4" t="s">
        <v>32</v>
      </c>
    </row>
    <row r="77" spans="1:13">
      <c r="A77" s="4">
        <v>41914</v>
      </c>
      <c r="B77" s="4" t="s">
        <v>34</v>
      </c>
      <c r="C77" s="4">
        <v>55</v>
      </c>
      <c r="D77" s="4">
        <v>17</v>
      </c>
      <c r="E77" s="4" t="s">
        <v>28</v>
      </c>
      <c r="F77" s="4" t="s">
        <v>4</v>
      </c>
      <c r="G77" s="4" t="s">
        <v>35</v>
      </c>
      <c r="H77" s="4">
        <v>0</v>
      </c>
      <c r="I77" s="4">
        <v>23</v>
      </c>
      <c r="J77" s="4">
        <v>37</v>
      </c>
      <c r="K77" s="4" t="s">
        <v>14</v>
      </c>
      <c r="L77" s="4" t="s">
        <v>10</v>
      </c>
      <c r="M77" s="4" t="s">
        <v>30</v>
      </c>
    </row>
    <row r="78" spans="1:13">
      <c r="A78" s="4">
        <v>41976</v>
      </c>
      <c r="B78" s="4" t="s">
        <v>34</v>
      </c>
      <c r="C78" s="4">
        <v>62</v>
      </c>
      <c r="D78" s="4">
        <v>7</v>
      </c>
      <c r="E78" s="4" t="s">
        <v>28</v>
      </c>
      <c r="F78" s="4" t="s">
        <v>4</v>
      </c>
      <c r="G78" s="4" t="s">
        <v>33</v>
      </c>
      <c r="H78" s="4">
        <v>1</v>
      </c>
      <c r="I78" s="4">
        <v>12</v>
      </c>
      <c r="J78" s="4">
        <v>40</v>
      </c>
      <c r="K78" s="4" t="s">
        <v>15</v>
      </c>
      <c r="L78" s="4" t="s">
        <v>10</v>
      </c>
      <c r="M78" s="4" t="s">
        <v>32</v>
      </c>
    </row>
    <row r="79" spans="1:13">
      <c r="A79" s="4">
        <v>41976</v>
      </c>
      <c r="B79" s="4" t="s">
        <v>34</v>
      </c>
      <c r="C79" s="4">
        <v>62</v>
      </c>
      <c r="D79" s="4">
        <v>3</v>
      </c>
      <c r="E79" s="4" t="s">
        <v>28</v>
      </c>
      <c r="F79" s="4" t="s">
        <v>4</v>
      </c>
      <c r="G79" s="4" t="s">
        <v>33</v>
      </c>
      <c r="H79" s="4">
        <v>0</v>
      </c>
      <c r="I79" s="4">
        <v>9</v>
      </c>
      <c r="J79" s="4">
        <v>48</v>
      </c>
      <c r="K79" s="4" t="s">
        <v>16</v>
      </c>
      <c r="L79" s="4" t="s">
        <v>10</v>
      </c>
      <c r="M79" s="4" t="s">
        <v>30</v>
      </c>
    </row>
    <row r="80" spans="1:13">
      <c r="A80" s="4">
        <v>41976</v>
      </c>
      <c r="B80" s="4" t="s">
        <v>34</v>
      </c>
      <c r="C80" s="4">
        <v>62</v>
      </c>
      <c r="D80" s="4">
        <v>14</v>
      </c>
      <c r="E80" s="4" t="s">
        <v>28</v>
      </c>
      <c r="F80" s="4" t="s">
        <v>4</v>
      </c>
      <c r="G80" s="4" t="s">
        <v>33</v>
      </c>
      <c r="H80" s="4">
        <v>1</v>
      </c>
      <c r="I80" s="4">
        <v>15</v>
      </c>
      <c r="J80" s="4">
        <v>55</v>
      </c>
      <c r="K80" s="4" t="s">
        <v>14</v>
      </c>
      <c r="L80" s="4" t="s">
        <v>10</v>
      </c>
      <c r="M80" s="4" t="s">
        <v>32</v>
      </c>
    </row>
    <row r="81" spans="1:13">
      <c r="A81" s="4">
        <v>41976</v>
      </c>
      <c r="B81" s="4" t="s">
        <v>34</v>
      </c>
      <c r="C81" s="4">
        <v>63</v>
      </c>
      <c r="D81" s="4">
        <v>11</v>
      </c>
      <c r="E81" s="4" t="s">
        <v>28</v>
      </c>
      <c r="F81" s="4" t="s">
        <v>4</v>
      </c>
      <c r="G81" s="4" t="s">
        <v>33</v>
      </c>
      <c r="H81" s="4">
        <v>0</v>
      </c>
      <c r="I81" s="4">
        <v>13</v>
      </c>
      <c r="J81" s="4">
        <v>52</v>
      </c>
      <c r="K81" s="4" t="s">
        <v>14</v>
      </c>
      <c r="L81" s="4" t="s">
        <v>10</v>
      </c>
      <c r="M81" s="4" t="s">
        <v>30</v>
      </c>
    </row>
    <row r="82" spans="1:13">
      <c r="A82" s="4">
        <v>41976</v>
      </c>
      <c r="B82" s="4" t="s">
        <v>34</v>
      </c>
      <c r="C82" s="4">
        <v>63</v>
      </c>
      <c r="D82" s="4">
        <v>4</v>
      </c>
      <c r="E82" s="4" t="s">
        <v>28</v>
      </c>
      <c r="F82" s="4" t="s">
        <v>4</v>
      </c>
      <c r="G82" s="4" t="s">
        <v>33</v>
      </c>
      <c r="H82" s="4">
        <v>1</v>
      </c>
      <c r="I82" s="4">
        <v>12</v>
      </c>
      <c r="J82" s="4">
        <v>40</v>
      </c>
      <c r="K82" s="4" t="s">
        <v>15</v>
      </c>
      <c r="L82" s="4" t="s">
        <v>10</v>
      </c>
      <c r="M82" s="4" t="s">
        <v>32</v>
      </c>
    </row>
    <row r="83" spans="1:13">
      <c r="A83" s="4">
        <v>41976</v>
      </c>
      <c r="B83" s="4" t="s">
        <v>34</v>
      </c>
      <c r="C83" s="4">
        <v>64</v>
      </c>
      <c r="D83" s="4">
        <v>5</v>
      </c>
      <c r="E83" s="4" t="s">
        <v>28</v>
      </c>
      <c r="F83" s="4" t="s">
        <v>4</v>
      </c>
      <c r="G83" s="4" t="s">
        <v>33</v>
      </c>
      <c r="H83" s="4">
        <v>0</v>
      </c>
      <c r="I83" s="4">
        <v>8</v>
      </c>
      <c r="J83" s="4">
        <v>44</v>
      </c>
      <c r="K83" s="4" t="s">
        <v>15</v>
      </c>
      <c r="L83" s="4" t="s">
        <v>10</v>
      </c>
      <c r="M83" s="4" t="s">
        <v>30</v>
      </c>
    </row>
    <row r="84" spans="1:13">
      <c r="A84" s="4">
        <v>41976</v>
      </c>
      <c r="B84" s="4" t="s">
        <v>34</v>
      </c>
      <c r="C84" s="4">
        <v>64</v>
      </c>
      <c r="D84" s="4">
        <v>7</v>
      </c>
      <c r="E84" s="4" t="s">
        <v>28</v>
      </c>
      <c r="F84" s="4" t="s">
        <v>4</v>
      </c>
      <c r="G84" s="4" t="s">
        <v>43</v>
      </c>
      <c r="H84" s="4">
        <v>0</v>
      </c>
      <c r="I84" s="4">
        <v>15</v>
      </c>
      <c r="J84" s="4">
        <v>38</v>
      </c>
      <c r="K84" s="4" t="s">
        <v>15</v>
      </c>
      <c r="L84" s="4" t="s">
        <v>10</v>
      </c>
      <c r="M84" s="4" t="s">
        <v>30</v>
      </c>
    </row>
    <row r="85" spans="1:13">
      <c r="A85" s="4">
        <v>41976</v>
      </c>
      <c r="B85" s="4" t="s">
        <v>34</v>
      </c>
      <c r="C85" s="4">
        <v>65</v>
      </c>
      <c r="D85" s="4">
        <v>3</v>
      </c>
      <c r="E85" s="4" t="s">
        <v>28</v>
      </c>
      <c r="F85" s="4" t="s">
        <v>4</v>
      </c>
      <c r="G85" s="4" t="s">
        <v>33</v>
      </c>
      <c r="H85" s="4">
        <v>0</v>
      </c>
      <c r="I85" s="4">
        <v>14</v>
      </c>
      <c r="J85" s="4">
        <v>30</v>
      </c>
      <c r="K85" s="4" t="s">
        <v>16</v>
      </c>
      <c r="L85" s="4" t="s">
        <v>10</v>
      </c>
      <c r="M85" s="4" t="s">
        <v>30</v>
      </c>
    </row>
    <row r="86" spans="1:13">
      <c r="A86" s="4">
        <v>41976</v>
      </c>
      <c r="B86" s="4" t="s">
        <v>34</v>
      </c>
      <c r="C86" s="4">
        <v>65</v>
      </c>
      <c r="D86" s="4">
        <v>3</v>
      </c>
      <c r="E86" s="4" t="s">
        <v>28</v>
      </c>
      <c r="F86" s="4" t="s">
        <v>4</v>
      </c>
      <c r="G86" s="4" t="s">
        <v>42</v>
      </c>
      <c r="H86" s="4">
        <v>0</v>
      </c>
      <c r="I86" s="4">
        <v>18</v>
      </c>
      <c r="J86" s="4">
        <v>38</v>
      </c>
      <c r="K86" s="4" t="s">
        <v>16</v>
      </c>
      <c r="L86" s="4" t="s">
        <v>10</v>
      </c>
      <c r="M86" s="4" t="s">
        <v>30</v>
      </c>
    </row>
    <row r="87" spans="1:13">
      <c r="A87" s="4">
        <v>41976</v>
      </c>
      <c r="B87" s="4" t="s">
        <v>34</v>
      </c>
      <c r="C87" s="4">
        <v>65</v>
      </c>
      <c r="D87" s="4">
        <v>3</v>
      </c>
      <c r="E87" s="4" t="s">
        <v>28</v>
      </c>
      <c r="F87" s="4" t="s">
        <v>4</v>
      </c>
      <c r="G87" s="4" t="s">
        <v>33</v>
      </c>
      <c r="H87" s="4">
        <v>0</v>
      </c>
      <c r="I87" s="4">
        <v>19</v>
      </c>
      <c r="J87" s="4">
        <v>35</v>
      </c>
      <c r="K87" s="4" t="s">
        <v>16</v>
      </c>
      <c r="L87" s="4" t="s">
        <v>10</v>
      </c>
      <c r="M87" s="4" t="s">
        <v>30</v>
      </c>
    </row>
    <row r="88" spans="1:13">
      <c r="A88" s="4">
        <v>41976</v>
      </c>
      <c r="B88" s="4" t="s">
        <v>34</v>
      </c>
      <c r="C88" s="4">
        <v>65</v>
      </c>
      <c r="D88" s="4">
        <v>3</v>
      </c>
      <c r="E88" s="4" t="s">
        <v>28</v>
      </c>
      <c r="F88" s="4" t="s">
        <v>4</v>
      </c>
      <c r="G88" s="4" t="s">
        <v>33</v>
      </c>
      <c r="H88" s="4">
        <v>1</v>
      </c>
      <c r="I88" s="4">
        <v>18</v>
      </c>
      <c r="J88" s="4">
        <v>26</v>
      </c>
      <c r="K88" s="4" t="s">
        <v>16</v>
      </c>
      <c r="L88" s="4" t="s">
        <v>10</v>
      </c>
      <c r="M88" s="4" t="s">
        <v>32</v>
      </c>
    </row>
    <row r="89" spans="1:13">
      <c r="A89" s="4">
        <v>41976</v>
      </c>
      <c r="B89" s="4" t="s">
        <v>34</v>
      </c>
      <c r="C89" s="4">
        <v>65</v>
      </c>
      <c r="D89" s="4">
        <v>4</v>
      </c>
      <c r="E89" s="4" t="s">
        <v>28</v>
      </c>
      <c r="F89" s="4" t="s">
        <v>4</v>
      </c>
      <c r="G89" s="4" t="s">
        <v>33</v>
      </c>
      <c r="H89" s="4">
        <v>1</v>
      </c>
      <c r="I89" s="4">
        <v>15</v>
      </c>
      <c r="J89" s="4">
        <v>30</v>
      </c>
      <c r="K89" s="4" t="s">
        <v>15</v>
      </c>
      <c r="L89" s="4" t="s">
        <v>10</v>
      </c>
      <c r="M89" s="4" t="s">
        <v>32</v>
      </c>
    </row>
    <row r="90" spans="1:13">
      <c r="A90" s="4">
        <v>41976</v>
      </c>
      <c r="B90" s="4" t="s">
        <v>34</v>
      </c>
      <c r="C90" s="4">
        <v>65</v>
      </c>
      <c r="D90" s="4">
        <v>3</v>
      </c>
      <c r="E90" s="4" t="s">
        <v>28</v>
      </c>
      <c r="F90" s="4" t="s">
        <v>4</v>
      </c>
      <c r="G90" s="4" t="s">
        <v>33</v>
      </c>
      <c r="H90" s="4">
        <v>1</v>
      </c>
      <c r="I90" s="4">
        <v>14</v>
      </c>
      <c r="J90" s="4">
        <v>29</v>
      </c>
      <c r="K90" s="4" t="s">
        <v>16</v>
      </c>
      <c r="L90" s="4" t="s">
        <v>10</v>
      </c>
      <c r="M90" s="4" t="s">
        <v>32</v>
      </c>
    </row>
    <row r="91" spans="1:13">
      <c r="A91" s="4">
        <v>41976</v>
      </c>
      <c r="B91" s="4" t="s">
        <v>34</v>
      </c>
      <c r="C91" s="4">
        <v>66</v>
      </c>
      <c r="D91" s="4">
        <v>7</v>
      </c>
      <c r="E91" s="4" t="s">
        <v>28</v>
      </c>
      <c r="F91" s="4" t="s">
        <v>4</v>
      </c>
      <c r="G91" s="4" t="s">
        <v>43</v>
      </c>
      <c r="H91" s="4">
        <v>0</v>
      </c>
      <c r="I91" s="4">
        <v>18</v>
      </c>
      <c r="J91" s="4">
        <v>36</v>
      </c>
      <c r="K91" s="4" t="s">
        <v>15</v>
      </c>
      <c r="L91" s="4" t="s">
        <v>10</v>
      </c>
      <c r="M91" s="4" t="s">
        <v>30</v>
      </c>
    </row>
    <row r="92" spans="1:13">
      <c r="A92" s="4">
        <v>41976</v>
      </c>
      <c r="B92" s="4" t="s">
        <v>34</v>
      </c>
      <c r="C92" s="4">
        <v>66</v>
      </c>
      <c r="D92" s="4">
        <v>8</v>
      </c>
      <c r="E92" s="4" t="s">
        <v>28</v>
      </c>
      <c r="F92" s="4" t="s">
        <v>4</v>
      </c>
      <c r="G92" s="4" t="s">
        <v>43</v>
      </c>
      <c r="H92" s="4">
        <v>0</v>
      </c>
      <c r="I92" s="4">
        <v>28</v>
      </c>
      <c r="J92" s="4">
        <v>45</v>
      </c>
      <c r="K92" s="4" t="s">
        <v>14</v>
      </c>
      <c r="L92" s="4" t="s">
        <v>10</v>
      </c>
      <c r="M92" s="4" t="s">
        <v>30</v>
      </c>
    </row>
    <row r="93" spans="1:13">
      <c r="A93" s="4">
        <v>41983</v>
      </c>
      <c r="B93" s="4" t="s">
        <v>27</v>
      </c>
      <c r="C93" s="4">
        <v>300</v>
      </c>
      <c r="D93" s="4">
        <v>3</v>
      </c>
      <c r="E93" s="4" t="s">
        <v>28</v>
      </c>
      <c r="F93" s="4" t="s">
        <v>4</v>
      </c>
      <c r="G93" s="4" t="s">
        <v>31</v>
      </c>
      <c r="H93" s="4">
        <v>0</v>
      </c>
      <c r="I93" s="4">
        <v>13</v>
      </c>
      <c r="J93" s="4">
        <v>23</v>
      </c>
      <c r="K93" s="4" t="s">
        <v>16</v>
      </c>
      <c r="L93" s="4" t="s">
        <v>10</v>
      </c>
      <c r="M93" s="4" t="s">
        <v>30</v>
      </c>
    </row>
    <row r="94" spans="1:13">
      <c r="A94" s="4">
        <v>42033</v>
      </c>
      <c r="B94" s="4" t="s">
        <v>27</v>
      </c>
      <c r="C94" s="4">
        <v>85</v>
      </c>
      <c r="D94" s="4">
        <v>2</v>
      </c>
      <c r="E94" s="4" t="s">
        <v>28</v>
      </c>
      <c r="F94" s="4" t="s">
        <v>4</v>
      </c>
      <c r="G94" s="4" t="s">
        <v>31</v>
      </c>
      <c r="H94" s="4">
        <v>0</v>
      </c>
      <c r="I94" s="4">
        <v>7</v>
      </c>
      <c r="J94" s="4">
        <v>13</v>
      </c>
      <c r="K94" s="4" t="s">
        <v>16</v>
      </c>
      <c r="L94" s="4" t="s">
        <v>10</v>
      </c>
      <c r="M94" s="4" t="s">
        <v>30</v>
      </c>
    </row>
    <row r="95" spans="1:13">
      <c r="A95" s="4">
        <v>42066</v>
      </c>
      <c r="B95" s="4" t="s">
        <v>34</v>
      </c>
      <c r="C95" s="4">
        <v>50</v>
      </c>
      <c r="D95" s="4">
        <v>7</v>
      </c>
      <c r="E95" s="4" t="s">
        <v>28</v>
      </c>
      <c r="F95" s="4" t="s">
        <v>5</v>
      </c>
      <c r="G95" s="4" t="s">
        <v>31</v>
      </c>
      <c r="H95" s="4">
        <v>0</v>
      </c>
      <c r="I95" s="4">
        <v>8</v>
      </c>
      <c r="J95" s="4">
        <v>34</v>
      </c>
      <c r="K95" s="4" t="s">
        <v>15</v>
      </c>
      <c r="L95" s="4" t="s">
        <v>10</v>
      </c>
      <c r="M95" s="4" t="s">
        <v>30</v>
      </c>
    </row>
    <row r="96" spans="1:13">
      <c r="A96" s="4">
        <v>42075</v>
      </c>
      <c r="B96" s="4" t="s">
        <v>34</v>
      </c>
      <c r="C96" s="4">
        <v>80</v>
      </c>
      <c r="D96" s="4">
        <v>14</v>
      </c>
      <c r="E96" s="4" t="s">
        <v>28</v>
      </c>
      <c r="F96" s="4" t="s">
        <v>4</v>
      </c>
      <c r="G96" s="4" t="s">
        <v>31</v>
      </c>
      <c r="H96" s="4">
        <v>1</v>
      </c>
      <c r="I96" s="4">
        <v>17</v>
      </c>
      <c r="J96" s="4">
        <v>57</v>
      </c>
      <c r="K96" s="4" t="s">
        <v>14</v>
      </c>
      <c r="L96" s="4" t="s">
        <v>10</v>
      </c>
      <c r="M96" s="4" t="s">
        <v>32</v>
      </c>
    </row>
    <row r="97" spans="1:13">
      <c r="A97" s="4">
        <v>42135</v>
      </c>
      <c r="B97" s="4" t="s">
        <v>34</v>
      </c>
      <c r="C97" s="4">
        <v>43</v>
      </c>
      <c r="D97" s="4">
        <v>12</v>
      </c>
      <c r="E97" s="4" t="s">
        <v>28</v>
      </c>
      <c r="F97" s="4" t="s">
        <v>3</v>
      </c>
      <c r="G97" s="4" t="s">
        <v>37</v>
      </c>
      <c r="H97" s="4">
        <v>0</v>
      </c>
      <c r="I97" s="4">
        <v>10</v>
      </c>
      <c r="J97" s="4">
        <v>33</v>
      </c>
      <c r="K97" s="4" t="s">
        <v>14</v>
      </c>
      <c r="L97" s="4" t="s">
        <v>9</v>
      </c>
      <c r="M97" s="4" t="s">
        <v>30</v>
      </c>
    </row>
    <row r="98" spans="1:13">
      <c r="A98" s="4">
        <v>42135</v>
      </c>
      <c r="B98" s="4" t="s">
        <v>34</v>
      </c>
      <c r="C98" s="4">
        <v>44</v>
      </c>
      <c r="D98" s="4">
        <v>22</v>
      </c>
      <c r="E98" s="4" t="s">
        <v>28</v>
      </c>
      <c r="F98" s="4" t="s">
        <v>3</v>
      </c>
      <c r="G98" s="4" t="s">
        <v>31</v>
      </c>
      <c r="H98" s="4">
        <v>0</v>
      </c>
      <c r="I98" s="4">
        <v>21</v>
      </c>
      <c r="J98" s="4">
        <v>56</v>
      </c>
      <c r="K98" s="4" t="s">
        <v>14</v>
      </c>
      <c r="L98" s="4" t="s">
        <v>9</v>
      </c>
      <c r="M98" s="4" t="s">
        <v>30</v>
      </c>
    </row>
    <row r="99" spans="1:13">
      <c r="A99" s="4">
        <v>42199</v>
      </c>
      <c r="B99" s="4" t="s">
        <v>27</v>
      </c>
      <c r="C99" s="4">
        <v>72</v>
      </c>
      <c r="D99" s="4">
        <v>10</v>
      </c>
      <c r="E99" s="4" t="s">
        <v>28</v>
      </c>
      <c r="F99" s="4" t="s">
        <v>4</v>
      </c>
      <c r="G99" s="4" t="s">
        <v>33</v>
      </c>
      <c r="H99" s="4">
        <v>0</v>
      </c>
      <c r="I99" s="4">
        <v>12</v>
      </c>
      <c r="J99" s="4">
        <v>30</v>
      </c>
      <c r="K99" s="4" t="s">
        <v>14</v>
      </c>
      <c r="L99" s="4" t="s">
        <v>10</v>
      </c>
      <c r="M99" s="4" t="s">
        <v>30</v>
      </c>
    </row>
    <row r="100" spans="1:13">
      <c r="A100" s="4">
        <v>42231</v>
      </c>
      <c r="B100" s="4" t="s">
        <v>27</v>
      </c>
      <c r="C100" s="4">
        <v>85</v>
      </c>
      <c r="D100" s="4">
        <v>8</v>
      </c>
      <c r="E100" s="4" t="s">
        <v>36</v>
      </c>
      <c r="F100" s="4" t="s">
        <v>4</v>
      </c>
      <c r="G100" s="4" t="s">
        <v>29</v>
      </c>
      <c r="H100" s="4">
        <v>0</v>
      </c>
      <c r="I100" s="4">
        <v>11</v>
      </c>
      <c r="J100" s="4">
        <v>28</v>
      </c>
      <c r="K100" s="4" t="s">
        <v>14</v>
      </c>
      <c r="L100" s="4" t="s">
        <v>10</v>
      </c>
      <c r="M100" s="4" t="s">
        <v>30</v>
      </c>
    </row>
    <row r="101" spans="1:13">
      <c r="A101" s="4">
        <v>42275</v>
      </c>
      <c r="B101" s="4" t="s">
        <v>34</v>
      </c>
      <c r="C101" s="4">
        <v>77</v>
      </c>
      <c r="D101" s="4">
        <v>3</v>
      </c>
      <c r="E101" s="4" t="s">
        <v>28</v>
      </c>
      <c r="F101" s="4" t="s">
        <v>4</v>
      </c>
      <c r="G101" s="4" t="s">
        <v>37</v>
      </c>
      <c r="H101" s="4">
        <v>0</v>
      </c>
      <c r="I101" s="4">
        <v>11</v>
      </c>
      <c r="J101" s="4">
        <v>13</v>
      </c>
      <c r="K101" s="4" t="s">
        <v>16</v>
      </c>
      <c r="L101" s="4" t="s">
        <v>10</v>
      </c>
      <c r="M101" s="4" t="s">
        <v>30</v>
      </c>
    </row>
    <row r="102" spans="1:13">
      <c r="A102" s="4">
        <v>42281</v>
      </c>
      <c r="B102" s="4" t="s">
        <v>27</v>
      </c>
      <c r="C102" s="4">
        <v>68</v>
      </c>
      <c r="D102" s="4">
        <v>28</v>
      </c>
      <c r="E102" s="4" t="s">
        <v>28</v>
      </c>
      <c r="F102" s="4" t="s">
        <v>4</v>
      </c>
      <c r="G102" s="4" t="s">
        <v>31</v>
      </c>
      <c r="H102" s="4">
        <v>0</v>
      </c>
      <c r="I102" s="4">
        <v>20</v>
      </c>
      <c r="J102" s="4">
        <v>68</v>
      </c>
      <c r="K102" s="4" t="s">
        <v>14</v>
      </c>
      <c r="L102" s="4" t="s">
        <v>10</v>
      </c>
      <c r="M102" s="4" t="s">
        <v>30</v>
      </c>
    </row>
    <row r="103" spans="1:13">
      <c r="A103" s="4">
        <v>42292</v>
      </c>
      <c r="B103" s="4" t="s">
        <v>34</v>
      </c>
      <c r="C103" s="4">
        <v>63</v>
      </c>
      <c r="D103" s="4">
        <v>3</v>
      </c>
      <c r="E103" s="4" t="s">
        <v>28</v>
      </c>
      <c r="F103" s="4" t="s">
        <v>5</v>
      </c>
      <c r="G103" s="4" t="s">
        <v>37</v>
      </c>
      <c r="H103" s="4">
        <v>0</v>
      </c>
      <c r="I103" s="4">
        <v>13</v>
      </c>
      <c r="J103" s="4">
        <v>27</v>
      </c>
      <c r="K103" s="4" t="s">
        <v>16</v>
      </c>
      <c r="L103" s="4" t="s">
        <v>10</v>
      </c>
      <c r="M103" s="4" t="s">
        <v>30</v>
      </c>
    </row>
    <row r="104" spans="1:13">
      <c r="A104" s="4">
        <v>42302</v>
      </c>
      <c r="B104" s="4" t="s">
        <v>27</v>
      </c>
      <c r="C104" s="4">
        <v>85</v>
      </c>
      <c r="D104" s="4">
        <v>4</v>
      </c>
      <c r="E104" s="4" t="s">
        <v>28</v>
      </c>
      <c r="F104" s="4" t="s">
        <v>4</v>
      </c>
      <c r="G104" s="4" t="s">
        <v>33</v>
      </c>
      <c r="H104" s="4">
        <v>0</v>
      </c>
      <c r="I104" s="4">
        <v>20</v>
      </c>
      <c r="J104" s="4">
        <v>23</v>
      </c>
      <c r="K104" s="4" t="s">
        <v>15</v>
      </c>
      <c r="L104" s="4" t="s">
        <v>10</v>
      </c>
      <c r="M104" s="4" t="s">
        <v>30</v>
      </c>
    </row>
    <row r="105" spans="1:13">
      <c r="A105" s="4">
        <v>42321</v>
      </c>
      <c r="B105" s="4" t="s">
        <v>27</v>
      </c>
      <c r="C105" s="4">
        <v>80</v>
      </c>
      <c r="D105" s="4">
        <v>5</v>
      </c>
      <c r="E105" s="4" t="s">
        <v>28</v>
      </c>
      <c r="F105" s="4" t="s">
        <v>4</v>
      </c>
      <c r="G105" s="4" t="s">
        <v>33</v>
      </c>
      <c r="H105" s="4">
        <v>1</v>
      </c>
      <c r="I105" s="4">
        <v>17</v>
      </c>
      <c r="J105" s="4">
        <v>31</v>
      </c>
      <c r="K105" s="4" t="s">
        <v>15</v>
      </c>
      <c r="L105" s="4" t="s">
        <v>10</v>
      </c>
      <c r="M105" s="4" t="s">
        <v>32</v>
      </c>
    </row>
    <row r="106" spans="1:13">
      <c r="A106" s="4">
        <v>42346</v>
      </c>
      <c r="B106" s="4" t="s">
        <v>27</v>
      </c>
      <c r="C106" s="4">
        <v>88</v>
      </c>
      <c r="D106" s="4">
        <v>5</v>
      </c>
      <c r="E106" s="4" t="s">
        <v>28</v>
      </c>
      <c r="F106" s="4" t="s">
        <v>4</v>
      </c>
      <c r="G106" s="4" t="s">
        <v>33</v>
      </c>
      <c r="H106" s="4">
        <v>1</v>
      </c>
      <c r="I106" s="4">
        <v>19</v>
      </c>
      <c r="J106" s="4">
        <v>29</v>
      </c>
      <c r="K106" s="4" t="s">
        <v>15</v>
      </c>
      <c r="L106" s="4" t="s">
        <v>10</v>
      </c>
      <c r="M106" s="4" t="s">
        <v>32</v>
      </c>
    </row>
    <row r="107" spans="1:13">
      <c r="A107" s="4">
        <v>42346</v>
      </c>
      <c r="B107" s="4" t="s">
        <v>27</v>
      </c>
      <c r="C107" s="4">
        <v>88</v>
      </c>
      <c r="D107" s="4">
        <v>1</v>
      </c>
      <c r="E107" s="4" t="s">
        <v>28</v>
      </c>
      <c r="F107" s="4" t="s">
        <v>4</v>
      </c>
      <c r="G107" s="4" t="s">
        <v>31</v>
      </c>
      <c r="H107" s="4">
        <v>0</v>
      </c>
      <c r="I107" s="4">
        <v>14</v>
      </c>
      <c r="J107" s="4">
        <v>7</v>
      </c>
      <c r="K107" s="4" t="s">
        <v>16</v>
      </c>
      <c r="L107" s="4" t="s">
        <v>10</v>
      </c>
      <c r="M107" s="4" t="s">
        <v>30</v>
      </c>
    </row>
    <row r="108" spans="1:13">
      <c r="A108" s="4">
        <v>42367</v>
      </c>
      <c r="B108" s="4" t="s">
        <v>27</v>
      </c>
      <c r="C108" s="4">
        <v>87</v>
      </c>
      <c r="D108" s="4">
        <v>32</v>
      </c>
      <c r="E108" s="4" t="s">
        <v>28</v>
      </c>
      <c r="F108" s="4" t="s">
        <v>4</v>
      </c>
      <c r="G108" s="4" t="s">
        <v>31</v>
      </c>
      <c r="H108" s="4">
        <v>0</v>
      </c>
      <c r="I108" s="4">
        <v>16</v>
      </c>
      <c r="J108" s="4">
        <v>55</v>
      </c>
      <c r="K108" s="4" t="s">
        <v>14</v>
      </c>
      <c r="L108" s="4" t="s">
        <v>10</v>
      </c>
      <c r="M108" s="4" t="s">
        <v>30</v>
      </c>
    </row>
    <row r="109" spans="1:13">
      <c r="A109" s="4">
        <v>42412</v>
      </c>
      <c r="B109" s="4" t="s">
        <v>34</v>
      </c>
      <c r="C109" s="4">
        <v>86</v>
      </c>
      <c r="D109" s="4">
        <v>6</v>
      </c>
      <c r="E109" s="4" t="s">
        <v>28</v>
      </c>
      <c r="F109" s="4" t="s">
        <v>4</v>
      </c>
      <c r="G109" s="4" t="s">
        <v>33</v>
      </c>
      <c r="H109" s="4">
        <v>1</v>
      </c>
      <c r="I109" s="4">
        <v>17</v>
      </c>
      <c r="J109" s="4">
        <v>31</v>
      </c>
      <c r="K109" s="4" t="s">
        <v>15</v>
      </c>
      <c r="L109" s="4" t="s">
        <v>10</v>
      </c>
      <c r="M109" s="4" t="s">
        <v>32</v>
      </c>
    </row>
    <row r="110" spans="1:13">
      <c r="A110" s="4">
        <v>42430</v>
      </c>
      <c r="B110" s="4" t="s">
        <v>34</v>
      </c>
      <c r="C110" s="4">
        <v>80</v>
      </c>
      <c r="D110" s="4">
        <v>4</v>
      </c>
      <c r="E110" s="4" t="s">
        <v>28</v>
      </c>
      <c r="F110" s="4" t="s">
        <v>4</v>
      </c>
      <c r="G110" s="4" t="s">
        <v>31</v>
      </c>
      <c r="H110" s="4">
        <v>0</v>
      </c>
      <c r="I110" s="4">
        <v>10</v>
      </c>
      <c r="J110" s="4">
        <v>35</v>
      </c>
      <c r="K110" s="4" t="s">
        <v>15</v>
      </c>
      <c r="L110" s="4" t="s">
        <v>10</v>
      </c>
      <c r="M110" s="4" t="s">
        <v>30</v>
      </c>
    </row>
    <row r="111" spans="1:13">
      <c r="A111" s="4">
        <v>42458</v>
      </c>
      <c r="B111" s="4" t="s">
        <v>34</v>
      </c>
      <c r="C111" s="4">
        <v>300</v>
      </c>
      <c r="D111" s="4">
        <v>1</v>
      </c>
      <c r="E111" s="4" t="s">
        <v>28</v>
      </c>
      <c r="F111" s="4" t="s">
        <v>4</v>
      </c>
      <c r="G111" s="4" t="s">
        <v>37</v>
      </c>
      <c r="H111" s="4">
        <v>0</v>
      </c>
      <c r="I111" s="4">
        <v>6</v>
      </c>
      <c r="J111" s="4">
        <v>14</v>
      </c>
      <c r="K111" s="4" t="s">
        <v>16</v>
      </c>
      <c r="L111" s="4" t="s">
        <v>10</v>
      </c>
      <c r="M111" s="4" t="s">
        <v>30</v>
      </c>
    </row>
    <row r="112" spans="1:13">
      <c r="A112" s="4">
        <v>43735</v>
      </c>
      <c r="B112" s="4" t="s">
        <v>34</v>
      </c>
      <c r="C112" s="4">
        <v>82</v>
      </c>
      <c r="D112" s="4">
        <v>5</v>
      </c>
      <c r="E112" s="4" t="s">
        <v>28</v>
      </c>
      <c r="F112" s="4" t="s">
        <v>4</v>
      </c>
      <c r="G112" s="4" t="s">
        <v>31</v>
      </c>
      <c r="H112" s="4">
        <v>0</v>
      </c>
      <c r="I112" s="4">
        <v>22</v>
      </c>
      <c r="J112" s="4">
        <v>40</v>
      </c>
      <c r="K112" s="4" t="s">
        <v>15</v>
      </c>
      <c r="L112" s="4" t="s">
        <v>10</v>
      </c>
      <c r="M112" s="4" t="s">
        <v>30</v>
      </c>
    </row>
    <row r="113" spans="1:13">
      <c r="A113" s="4">
        <v>43746</v>
      </c>
      <c r="B113" s="4" t="s">
        <v>27</v>
      </c>
      <c r="C113" s="4">
        <v>81</v>
      </c>
      <c r="D113" s="4">
        <v>16</v>
      </c>
      <c r="E113" s="4" t="s">
        <v>28</v>
      </c>
      <c r="F113" s="4" t="s">
        <v>4</v>
      </c>
      <c r="G113" s="4" t="s">
        <v>31</v>
      </c>
      <c r="H113" s="4">
        <v>0</v>
      </c>
      <c r="I113" s="4">
        <v>16</v>
      </c>
      <c r="J113" s="4">
        <v>42</v>
      </c>
      <c r="K113" s="4" t="s">
        <v>14</v>
      </c>
      <c r="L113" s="4" t="s">
        <v>10</v>
      </c>
      <c r="M113" s="4" t="s">
        <v>30</v>
      </c>
    </row>
    <row r="114" spans="1:13">
      <c r="A114" s="4">
        <v>43748</v>
      </c>
      <c r="B114" s="4" t="s">
        <v>34</v>
      </c>
      <c r="C114" s="4">
        <v>79</v>
      </c>
      <c r="D114" s="4">
        <v>6</v>
      </c>
      <c r="E114" s="4" t="s">
        <v>28</v>
      </c>
      <c r="F114" s="4" t="s">
        <v>4</v>
      </c>
      <c r="G114" s="4" t="s">
        <v>29</v>
      </c>
      <c r="H114" s="4">
        <v>1</v>
      </c>
      <c r="I114" s="4">
        <v>7</v>
      </c>
      <c r="J114" s="4">
        <v>29</v>
      </c>
      <c r="K114" s="4" t="s">
        <v>15</v>
      </c>
      <c r="L114" s="4" t="s">
        <v>10</v>
      </c>
      <c r="M114" s="4" t="s">
        <v>32</v>
      </c>
    </row>
    <row r="115" spans="1:13">
      <c r="A115" s="4">
        <v>43779</v>
      </c>
      <c r="B115" s="4" t="s">
        <v>34</v>
      </c>
      <c r="C115" s="4">
        <v>76</v>
      </c>
      <c r="D115" s="4">
        <v>3</v>
      </c>
      <c r="E115" s="4" t="s">
        <v>28</v>
      </c>
      <c r="F115" s="4" t="s">
        <v>4</v>
      </c>
      <c r="G115" s="4" t="s">
        <v>29</v>
      </c>
      <c r="H115" s="4">
        <v>0</v>
      </c>
      <c r="I115" s="4">
        <v>10</v>
      </c>
      <c r="J115" s="4">
        <v>25</v>
      </c>
      <c r="K115" s="4" t="s">
        <v>16</v>
      </c>
      <c r="L115" s="4" t="s">
        <v>10</v>
      </c>
      <c r="M115" s="4" t="s">
        <v>30</v>
      </c>
    </row>
    <row r="116" spans="1:13">
      <c r="A116" s="4">
        <v>43798</v>
      </c>
      <c r="B116" s="4" t="s">
        <v>34</v>
      </c>
      <c r="C116" s="4">
        <v>61</v>
      </c>
      <c r="D116" s="4">
        <v>39</v>
      </c>
      <c r="E116" s="4" t="s">
        <v>36</v>
      </c>
      <c r="F116" s="4" t="s">
        <v>5</v>
      </c>
      <c r="G116" s="4" t="s">
        <v>29</v>
      </c>
      <c r="H116" s="4">
        <v>1</v>
      </c>
      <c r="I116" s="4">
        <v>16</v>
      </c>
      <c r="J116" s="4">
        <v>36</v>
      </c>
      <c r="K116" s="4" t="s">
        <v>14</v>
      </c>
      <c r="L116" s="4" t="s">
        <v>10</v>
      </c>
      <c r="M116" s="4" t="s">
        <v>32</v>
      </c>
    </row>
    <row r="117" spans="1:13">
      <c r="A117" s="4">
        <v>43827</v>
      </c>
      <c r="B117" s="4" t="s">
        <v>27</v>
      </c>
      <c r="C117" s="4">
        <v>300</v>
      </c>
      <c r="D117" s="4">
        <v>4</v>
      </c>
      <c r="E117" s="4" t="s">
        <v>28</v>
      </c>
      <c r="F117" s="4" t="s">
        <v>4</v>
      </c>
      <c r="G117" s="4" t="s">
        <v>29</v>
      </c>
      <c r="H117" s="4">
        <v>1</v>
      </c>
      <c r="I117" s="4">
        <v>11</v>
      </c>
      <c r="J117" s="4">
        <v>19</v>
      </c>
      <c r="K117" s="4" t="s">
        <v>15</v>
      </c>
      <c r="L117" s="4" t="s">
        <v>10</v>
      </c>
      <c r="M117" s="4" t="s">
        <v>32</v>
      </c>
    </row>
    <row r="118" spans="1:13">
      <c r="A118" s="4">
        <v>43870</v>
      </c>
      <c r="B118" s="4" t="s">
        <v>27</v>
      </c>
      <c r="C118" s="4">
        <v>88</v>
      </c>
      <c r="D118" s="4">
        <v>3</v>
      </c>
      <c r="E118" s="4" t="s">
        <v>28</v>
      </c>
      <c r="F118" s="4" t="s">
        <v>4</v>
      </c>
      <c r="G118" s="4" t="s">
        <v>31</v>
      </c>
      <c r="H118" s="4">
        <v>0</v>
      </c>
      <c r="I118" s="4">
        <v>11</v>
      </c>
      <c r="J118" s="4">
        <v>27</v>
      </c>
      <c r="K118" s="4" t="s">
        <v>16</v>
      </c>
      <c r="L118" s="4" t="s">
        <v>10</v>
      </c>
      <c r="M118" s="4" t="s">
        <v>30</v>
      </c>
    </row>
    <row r="119" spans="1:13">
      <c r="A119" s="4">
        <v>43879</v>
      </c>
      <c r="B119" s="4" t="s">
        <v>27</v>
      </c>
      <c r="C119" s="4">
        <v>55</v>
      </c>
      <c r="D119" s="4">
        <v>1</v>
      </c>
      <c r="E119" s="4" t="s">
        <v>28</v>
      </c>
      <c r="F119" s="4" t="s">
        <v>4</v>
      </c>
      <c r="G119" s="4" t="s">
        <v>37</v>
      </c>
      <c r="H119" s="4">
        <v>0</v>
      </c>
      <c r="I119" s="4">
        <v>6</v>
      </c>
      <c r="J119" s="4">
        <v>12</v>
      </c>
      <c r="K119" s="4" t="s">
        <v>16</v>
      </c>
      <c r="L119" s="4" t="s">
        <v>10</v>
      </c>
      <c r="M119" s="4" t="s">
        <v>30</v>
      </c>
    </row>
    <row r="120" spans="1:13">
      <c r="A120" s="4">
        <v>43881</v>
      </c>
      <c r="B120" s="4" t="s">
        <v>34</v>
      </c>
      <c r="C120" s="4">
        <v>53</v>
      </c>
      <c r="D120" s="4">
        <v>6</v>
      </c>
      <c r="E120" s="4" t="s">
        <v>28</v>
      </c>
      <c r="F120" s="4" t="s">
        <v>5</v>
      </c>
      <c r="G120" s="4" t="s">
        <v>29</v>
      </c>
      <c r="H120" s="4">
        <v>1</v>
      </c>
      <c r="I120" s="4">
        <v>16</v>
      </c>
      <c r="J120" s="4">
        <v>31</v>
      </c>
      <c r="K120" s="4" t="s">
        <v>15</v>
      </c>
      <c r="L120" s="4" t="s">
        <v>10</v>
      </c>
      <c r="M120" s="4" t="s">
        <v>32</v>
      </c>
    </row>
    <row r="121" spans="1:13">
      <c r="A121" s="4">
        <v>43881</v>
      </c>
      <c r="B121" s="4" t="s">
        <v>34</v>
      </c>
      <c r="C121" s="4">
        <v>53</v>
      </c>
      <c r="D121" s="4">
        <v>8</v>
      </c>
      <c r="E121" s="4" t="s">
        <v>28</v>
      </c>
      <c r="F121" s="4" t="s">
        <v>5</v>
      </c>
      <c r="G121" s="4" t="s">
        <v>37</v>
      </c>
      <c r="H121" s="4">
        <v>0</v>
      </c>
      <c r="I121" s="4">
        <v>14</v>
      </c>
      <c r="J121" s="4">
        <v>26</v>
      </c>
      <c r="K121" s="4" t="s">
        <v>14</v>
      </c>
      <c r="L121" s="4" t="s">
        <v>10</v>
      </c>
      <c r="M121" s="4" t="s">
        <v>30</v>
      </c>
    </row>
    <row r="122" spans="1:13">
      <c r="A122" s="4">
        <v>43909</v>
      </c>
      <c r="B122" s="4" t="s">
        <v>27</v>
      </c>
      <c r="C122" s="4">
        <v>78</v>
      </c>
      <c r="D122" s="4">
        <v>0</v>
      </c>
      <c r="E122" s="4" t="s">
        <v>28</v>
      </c>
      <c r="F122" s="4" t="s">
        <v>4</v>
      </c>
      <c r="G122" s="4" t="s">
        <v>31</v>
      </c>
      <c r="H122" s="4">
        <v>0</v>
      </c>
      <c r="I122" s="4">
        <v>9</v>
      </c>
      <c r="J122" s="4">
        <v>23</v>
      </c>
      <c r="K122" s="4" t="s">
        <v>16</v>
      </c>
      <c r="L122" s="4" t="s">
        <v>10</v>
      </c>
      <c r="M122" s="4" t="s">
        <v>30</v>
      </c>
    </row>
    <row r="123" spans="1:13">
      <c r="A123" s="4">
        <v>43927</v>
      </c>
      <c r="B123" s="4" t="s">
        <v>27</v>
      </c>
      <c r="C123" s="4">
        <v>71</v>
      </c>
      <c r="D123" s="4">
        <v>4</v>
      </c>
      <c r="E123" s="4" t="s">
        <v>36</v>
      </c>
      <c r="F123" s="4" t="s">
        <v>4</v>
      </c>
      <c r="G123" s="4" t="s">
        <v>33</v>
      </c>
      <c r="H123" s="4">
        <v>1</v>
      </c>
      <c r="I123" s="4">
        <v>8</v>
      </c>
      <c r="J123" s="4">
        <v>43</v>
      </c>
      <c r="K123" s="4" t="s">
        <v>15</v>
      </c>
      <c r="L123" s="4" t="s">
        <v>10</v>
      </c>
      <c r="M123" s="4" t="s">
        <v>32</v>
      </c>
    </row>
    <row r="124" spans="1:13">
      <c r="A124" s="4">
        <v>44083</v>
      </c>
      <c r="B124" s="4" t="s">
        <v>34</v>
      </c>
      <c r="C124" s="4">
        <v>54</v>
      </c>
      <c r="D124" s="4">
        <v>7</v>
      </c>
      <c r="E124" s="4" t="s">
        <v>36</v>
      </c>
      <c r="F124" s="4" t="s">
        <v>5</v>
      </c>
      <c r="G124" s="4" t="s">
        <v>29</v>
      </c>
      <c r="H124" s="4">
        <v>0</v>
      </c>
      <c r="I124" s="4">
        <v>4</v>
      </c>
      <c r="J124" s="4">
        <v>23</v>
      </c>
      <c r="K124" s="4" t="s">
        <v>15</v>
      </c>
      <c r="L124" s="4" t="s">
        <v>10</v>
      </c>
      <c r="M124" s="4" t="s">
        <v>30</v>
      </c>
    </row>
    <row r="125" spans="1:13">
      <c r="A125" s="4">
        <v>44083</v>
      </c>
      <c r="B125" s="4" t="s">
        <v>34</v>
      </c>
      <c r="C125" s="4">
        <v>54</v>
      </c>
      <c r="D125" s="4">
        <v>3</v>
      </c>
      <c r="E125" s="4" t="s">
        <v>28</v>
      </c>
      <c r="F125" s="4" t="s">
        <v>5</v>
      </c>
      <c r="G125" s="4" t="s">
        <v>29</v>
      </c>
      <c r="H125" s="4">
        <v>0</v>
      </c>
      <c r="I125" s="4">
        <v>4</v>
      </c>
      <c r="J125" s="4">
        <v>12</v>
      </c>
      <c r="K125" s="4" t="s">
        <v>16</v>
      </c>
      <c r="L125" s="4" t="s">
        <v>10</v>
      </c>
      <c r="M125" s="4" t="s">
        <v>30</v>
      </c>
    </row>
    <row r="126" spans="1:13">
      <c r="A126" s="4">
        <v>44083</v>
      </c>
      <c r="B126" s="4" t="s">
        <v>34</v>
      </c>
      <c r="C126" s="4">
        <v>54</v>
      </c>
      <c r="D126" s="4">
        <v>10</v>
      </c>
      <c r="E126" s="4" t="s">
        <v>28</v>
      </c>
      <c r="F126" s="4" t="s">
        <v>5</v>
      </c>
      <c r="G126" s="4" t="s">
        <v>37</v>
      </c>
      <c r="H126" s="4">
        <v>0</v>
      </c>
      <c r="I126" s="4">
        <v>5</v>
      </c>
      <c r="J126" s="4">
        <v>25</v>
      </c>
      <c r="K126" s="4" t="s">
        <v>14</v>
      </c>
      <c r="L126" s="4" t="s">
        <v>10</v>
      </c>
      <c r="M126" s="4" t="s">
        <v>30</v>
      </c>
    </row>
    <row r="127" spans="1:13">
      <c r="A127" s="4">
        <v>44154</v>
      </c>
      <c r="B127" s="4" t="s">
        <v>34</v>
      </c>
      <c r="C127" s="4">
        <v>300</v>
      </c>
      <c r="D127" s="4">
        <v>1</v>
      </c>
      <c r="E127" s="4" t="s">
        <v>28</v>
      </c>
      <c r="F127" s="4" t="s">
        <v>4</v>
      </c>
      <c r="G127" s="4" t="s">
        <v>31</v>
      </c>
      <c r="H127" s="4">
        <v>0</v>
      </c>
      <c r="I127" s="4">
        <v>9</v>
      </c>
      <c r="J127" s="4">
        <v>23</v>
      </c>
      <c r="K127" s="4" t="s">
        <v>16</v>
      </c>
      <c r="L127" s="4" t="s">
        <v>10</v>
      </c>
      <c r="M127" s="4" t="s">
        <v>30</v>
      </c>
    </row>
    <row r="128" spans="1:13">
      <c r="A128" s="4">
        <v>44212</v>
      </c>
      <c r="B128" s="4" t="s">
        <v>27</v>
      </c>
      <c r="C128" s="4">
        <v>45</v>
      </c>
      <c r="D128" s="4">
        <v>36</v>
      </c>
      <c r="E128" s="4" t="s">
        <v>28</v>
      </c>
      <c r="F128" s="4" t="s">
        <v>4</v>
      </c>
      <c r="G128" s="4" t="s">
        <v>35</v>
      </c>
      <c r="H128" s="4">
        <v>1</v>
      </c>
      <c r="I128" s="4">
        <v>24</v>
      </c>
      <c r="J128" s="4">
        <v>69</v>
      </c>
      <c r="K128" s="4" t="s">
        <v>14</v>
      </c>
      <c r="L128" s="4" t="s">
        <v>9</v>
      </c>
      <c r="M128" s="4" t="s">
        <v>32</v>
      </c>
    </row>
    <row r="129" spans="1:13">
      <c r="A129" s="4">
        <v>44222</v>
      </c>
      <c r="B129" s="4" t="s">
        <v>34</v>
      </c>
      <c r="C129" s="4">
        <v>73</v>
      </c>
      <c r="D129" s="4">
        <v>1</v>
      </c>
      <c r="E129" s="4" t="s">
        <v>28</v>
      </c>
      <c r="F129" s="4" t="s">
        <v>4</v>
      </c>
      <c r="G129" s="4" t="s">
        <v>37</v>
      </c>
      <c r="H129" s="4">
        <v>1</v>
      </c>
      <c r="I129" s="4">
        <v>10</v>
      </c>
      <c r="J129" s="4">
        <v>15</v>
      </c>
      <c r="K129" s="4" t="s">
        <v>16</v>
      </c>
      <c r="L129" s="4" t="s">
        <v>10</v>
      </c>
      <c r="M129" s="4" t="s">
        <v>32</v>
      </c>
    </row>
    <row r="130" spans="1:13">
      <c r="A130" s="4">
        <v>44228</v>
      </c>
      <c r="B130" s="4" t="s">
        <v>27</v>
      </c>
      <c r="C130" s="4">
        <v>58</v>
      </c>
      <c r="D130" s="4">
        <v>9</v>
      </c>
      <c r="E130" s="4" t="s">
        <v>28</v>
      </c>
      <c r="F130" s="4" t="s">
        <v>5</v>
      </c>
      <c r="G130" s="4" t="s">
        <v>29</v>
      </c>
      <c r="H130" s="4">
        <v>0</v>
      </c>
      <c r="I130" s="4">
        <v>11</v>
      </c>
      <c r="J130" s="4">
        <v>41</v>
      </c>
      <c r="K130" s="4" t="s">
        <v>14</v>
      </c>
      <c r="L130" s="4" t="s">
        <v>10</v>
      </c>
      <c r="M130" s="4" t="s">
        <v>30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6:G7"/>
  <sheetViews>
    <sheetView showGridLines="0" tabSelected="1" zoomScale="76" zoomScaleNormal="76" topLeftCell="A2" workbookViewId="0">
      <selection activeCell="M34" sqref="M34"/>
    </sheetView>
  </sheetViews>
  <sheetFormatPr defaultColWidth="8.88888888888889" defaultRowHeight="14.4" outlineLevelRow="6" outlineLevelCol="6"/>
  <cols>
    <col min="1" max="1" width="15.7777777777778" customWidth="1"/>
    <col min="2" max="2" width="13.1111111111111" customWidth="1"/>
    <col min="3" max="3" width="15.8888888888889" customWidth="1"/>
    <col min="4" max="4" width="12.8888888888889"/>
    <col min="5" max="5" width="18" customWidth="1"/>
    <col min="7" max="7" width="17.1111111111111" customWidth="1"/>
  </cols>
  <sheetData>
    <row r="6" ht="15" spans="1:7">
      <c r="A6" s="1" t="s">
        <v>44</v>
      </c>
      <c r="C6" s="1" t="s">
        <v>45</v>
      </c>
      <c r="E6" s="1" t="s">
        <v>46</v>
      </c>
      <c r="G6" s="1" t="s">
        <v>44</v>
      </c>
    </row>
    <row r="7" ht="15.6" spans="1:7">
      <c r="A7" s="2">
        <f>COUNTA(medisight_master!A:A)-1</f>
        <v>129</v>
      </c>
      <c r="C7" s="2">
        <f>COUNTIF(medisight_master!J:J,1)</f>
        <v>0</v>
      </c>
      <c r="E7" s="2">
        <f>COUNTIF(medisight_master!L:L,1)/(COUNTA(medisight_master!C:C)-1)</f>
        <v>0</v>
      </c>
      <c r="G7" s="2">
        <f>COUNTA(medisight_master!G:G)-1</f>
        <v>129</v>
      </c>
    </row>
  </sheetData>
  <pageMargins left="1.61388888888889" right="1" top="1" bottom="1" header="0.5" footer="0.5"/>
  <pageSetup paperSize="9" scale="93" orientation="landscape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medisight_master</vt:lpstr>
      <vt:lpstr>EDA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</cp:lastModifiedBy>
  <dcterms:created xsi:type="dcterms:W3CDTF">2026-06-03T04:28:00Z</dcterms:created>
  <dcterms:modified xsi:type="dcterms:W3CDTF">2026-06-09T04:42:59Z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7D47339A0EB64A53BD4BF81CF93DEDC7_13</vt:lpwstr>
  </property>
</Properties>
</file>